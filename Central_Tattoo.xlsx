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Início" sheetId="1" state="visible" r:id="rId1"/>
    <sheet xmlns:r="http://schemas.openxmlformats.org/officeDocument/2006/relationships" name="📊 Dashboard" sheetId="2" state="visible" r:id="rId2"/>
    <sheet xmlns:r="http://schemas.openxmlformats.org/officeDocument/2006/relationships" name="📅 Agenda" sheetId="3" state="visible" r:id="rId3"/>
    <sheet xmlns:r="http://schemas.openxmlformats.org/officeDocument/2006/relationships" name="👥 Clientes CRM" sheetId="4" state="visible" r:id="rId4"/>
    <sheet xmlns:r="http://schemas.openxmlformats.org/officeDocument/2006/relationships" name="🔔 Follow-Up" sheetId="5" state="visible" r:id="rId5"/>
    <sheet xmlns:r="http://schemas.openxmlformats.org/officeDocument/2006/relationships" name="💰 Financeiro" sheetId="6" state="visible" r:id="rId6"/>
    <sheet xmlns:r="http://schemas.openxmlformats.org/officeDocument/2006/relationships" name="🧮 Calculadora" sheetId="7" state="visible" r:id="rId7"/>
    <sheet xmlns:r="http://schemas.openxmlformats.org/officeDocument/2006/relationships" name="📦 Estoque" sheetId="8" state="visible" r:id="rId8"/>
    <sheet xmlns:r="http://schemas.openxmlformats.org/officeDocument/2006/relationships" name="🎯 Leads" sheetId="9" state="visible" r:id="rId9"/>
    <sheet xmlns:r="http://schemas.openxmlformats.org/officeDocument/2006/relationships" name="📈 Metas" sheetId="10" state="visible" r:id="rId10"/>
    <sheet xmlns:r="http://schemas.openxmlformats.org/officeDocument/2006/relationships" name="💎 Sinais" sheetId="11" state="visible" r:id="rId11"/>
    <sheet xmlns:r="http://schemas.openxmlformats.org/officeDocument/2006/relationships" name="🌿 Cicatrização" sheetId="12" state="visible" r:id="rId12"/>
    <sheet xmlns:r="http://schemas.openxmlformats.org/officeDocument/2006/relationships" name="💼 Comissõ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R$ #.##0,00"/>
    <numFmt numFmtId="165" formatCode="0,0%"/>
    <numFmt numFmtId="166" formatCode="0,0x"/>
    <numFmt numFmtId="167" formatCode="DD/MM/YYYY"/>
  </numFmts>
  <fonts count="60">
    <font>
      <name val="Calibri"/>
      <family val="2"/>
      <color theme="1"/>
      <sz val="11"/>
      <scheme val="minor"/>
    </font>
    <font>
      <name val="Arial"/>
      <b val="1"/>
      <color rgb="00E8B800"/>
      <sz val="28"/>
    </font>
    <font>
      <name val="Arial"/>
      <i val="1"/>
      <color rgb="00CCCCCC"/>
      <sz val="12"/>
    </font>
    <font>
      <name val="Arial"/>
      <sz val="20"/>
    </font>
    <font>
      <name val="Arial"/>
      <b val="1"/>
      <color rgb="00E8B800"/>
      <sz val="10"/>
    </font>
    <font>
      <name val="Arial"/>
      <color rgb="00CCCCCC"/>
      <sz val="8"/>
    </font>
    <font>
      <name val="Arial"/>
      <b val="1"/>
      <color rgb="00E8B800"/>
      <sz val="11"/>
    </font>
    <font>
      <name val="Arial"/>
      <b val="1"/>
      <color rgb="00C9A84C"/>
      <sz val="9"/>
    </font>
    <font>
      <name val="Arial"/>
      <color rgb="00F0F0F0"/>
      <sz val="9"/>
    </font>
    <font>
      <name val="Arial"/>
      <color rgb="00F5D76E"/>
      <sz val="9"/>
    </font>
    <font>
      <name val="Arial"/>
      <b val="1"/>
      <color rgb="00E8B800"/>
      <sz val="20"/>
    </font>
    <font>
      <name val="Arial"/>
      <color rgb="00CCCCCC"/>
      <sz val="10"/>
    </font>
    <font>
      <name val="Arial"/>
      <b val="1"/>
      <color rgb="0027AE60"/>
      <sz val="18"/>
    </font>
    <font>
      <name val="Arial"/>
      <b val="1"/>
      <color rgb="00E74C3C"/>
      <sz val="18"/>
    </font>
    <font>
      <name val="Arial"/>
      <b val="1"/>
      <color rgb="00E8B800"/>
      <sz val="18"/>
    </font>
    <font>
      <name val="Arial"/>
      <b val="1"/>
      <color rgb="003498DB"/>
      <sz val="18"/>
    </font>
    <font>
      <name val="Arial"/>
      <b val="1"/>
      <color rgb="00E91E8C"/>
      <sz val="18"/>
    </font>
    <font>
      <name val="Arial"/>
      <b val="1"/>
      <color rgb="00F5D76E"/>
      <sz val="16"/>
    </font>
    <font>
      <name val="Arial"/>
      <b val="1"/>
      <color rgb="002ECC71"/>
      <sz val="16"/>
    </font>
    <font>
      <name val="Arial"/>
      <b val="1"/>
      <color rgb="00E74C3C"/>
      <sz val="16"/>
    </font>
    <font>
      <name val="Arial"/>
      <b val="1"/>
      <color rgb="0027AE60"/>
      <sz val="16"/>
    </font>
    <font>
      <name val="Arial"/>
      <b val="1"/>
      <color rgb="003498DB"/>
      <sz val="16"/>
    </font>
    <font>
      <name val="Arial"/>
      <b val="1"/>
      <color rgb="00E8B800"/>
      <sz val="9"/>
    </font>
    <font>
      <name val="Arial"/>
      <b val="1"/>
      <color rgb="00F5D76E"/>
      <sz val="9"/>
    </font>
    <font>
      <name val="Arial"/>
      <color rgb="00CCCCCC"/>
      <sz val="9"/>
    </font>
    <font>
      <name val="Arial"/>
      <b val="1"/>
      <color rgb="00E8B800"/>
      <sz val="16"/>
    </font>
    <font>
      <name val="Arial"/>
      <b val="1"/>
      <color rgb="002ECC71"/>
      <sz val="9"/>
    </font>
    <font>
      <name val="Arial"/>
      <b val="1"/>
      <color rgb="002ECC71"/>
      <sz val="10"/>
    </font>
    <font>
      <name val="Arial"/>
      <b val="1"/>
      <color rgb="003498DB"/>
      <sz val="10"/>
    </font>
    <font>
      <name val="Arial"/>
      <b val="1"/>
      <color rgb="00E8B800"/>
      <sz val="14"/>
    </font>
    <font>
      <name val="Arial"/>
      <b val="1"/>
      <color rgb="002ECC71"/>
      <sz val="13"/>
    </font>
    <font>
      <name val="Arial"/>
      <b val="1"/>
      <color rgb="00E74C3C"/>
      <sz val="13"/>
    </font>
    <font>
      <name val="Arial"/>
      <b val="1"/>
      <color rgb="00E8B800"/>
      <sz val="13"/>
    </font>
    <font>
      <name val="Arial"/>
      <b val="1"/>
      <color rgb="003498DB"/>
      <sz val="13"/>
    </font>
    <font>
      <name val="Arial"/>
      <b val="1"/>
      <color rgb="00E67E22"/>
      <sz val="13"/>
    </font>
    <font>
      <name val="Arial"/>
      <b val="1"/>
      <color rgb="000D0D0D"/>
      <sz val="11"/>
    </font>
    <font>
      <name val="Arial"/>
      <color rgb="00F0F0F0"/>
      <sz val="10"/>
    </font>
    <font>
      <name val="Arial"/>
      <color rgb="00E67E22"/>
      <sz val="9"/>
    </font>
    <font>
      <name val="Arial"/>
      <color rgb="00E67E22"/>
      <sz val="10"/>
    </font>
    <font>
      <name val="Arial"/>
      <color rgb="00E91E8C"/>
      <sz val="9"/>
    </font>
    <font>
      <name val="Arial"/>
      <color rgb="00E91E8C"/>
      <sz val="10"/>
    </font>
    <font>
      <name val="Arial"/>
      <color rgb="003498DB"/>
      <sz val="9"/>
    </font>
    <font>
      <name val="Arial"/>
      <color rgb="003498DB"/>
      <sz val="10"/>
    </font>
    <font>
      <name val="Arial"/>
      <color rgb="00FFFFFF"/>
      <sz val="9"/>
    </font>
    <font>
      <name val="Arial"/>
      <color rgb="00FFFFFF"/>
      <sz val="10"/>
    </font>
    <font>
      <name val="Arial"/>
      <color rgb="002ECC71"/>
      <sz val="9"/>
    </font>
    <font>
      <name val="Arial"/>
      <color rgb="002ECC71"/>
      <sz val="10"/>
    </font>
    <font>
      <name val="Arial"/>
      <b val="1"/>
      <color rgb="00F5D76E"/>
      <sz val="10"/>
    </font>
    <font>
      <name val="Arial"/>
      <b val="1"/>
      <color rgb="00F5D76E"/>
      <sz val="13"/>
    </font>
    <font>
      <name val="Arial"/>
      <b val="1"/>
      <color rgb="0027AE60"/>
      <sz val="10"/>
    </font>
    <font>
      <name val="Arial"/>
      <b val="1"/>
      <color rgb="0027AE60"/>
      <sz val="13"/>
    </font>
    <font>
      <name val="Arial"/>
      <b val="1"/>
      <color rgb="002ECC71"/>
      <sz val="12"/>
    </font>
    <font>
      <name val="Arial"/>
      <b val="1"/>
      <color rgb="00FFFFFF"/>
      <sz val="18"/>
    </font>
    <font>
      <name val="Arial"/>
      <b val="1"/>
      <color rgb="00E67E22"/>
      <sz val="18"/>
    </font>
    <font>
      <name val="Arial"/>
      <b val="1"/>
      <color rgb="00E8B800"/>
      <sz val="12"/>
    </font>
    <font>
      <name val="Arial"/>
      <b val="1"/>
      <color rgb="00E67E22"/>
      <sz val="12"/>
    </font>
    <font>
      <name val="Arial"/>
      <b val="1"/>
      <color rgb="003498DB"/>
      <sz val="12"/>
    </font>
    <font>
      <name val="Arial"/>
      <b val="1"/>
      <color rgb="0027AE60"/>
      <sz val="12"/>
    </font>
    <font>
      <name val="Arial"/>
      <b val="1"/>
      <color rgb="00E67E22"/>
      <sz val="16"/>
    </font>
    <font>
      <name val="Arial"/>
      <color rgb="00E8B800"/>
      <sz val="9"/>
    </font>
  </fonts>
  <fills count="15">
    <fill>
      <patternFill/>
    </fill>
    <fill>
      <patternFill patternType="gray125"/>
    </fill>
    <fill>
      <patternFill patternType="solid">
        <fgColor rgb="000D0D0D"/>
      </patternFill>
    </fill>
    <fill>
      <patternFill patternType="solid">
        <fgColor rgb="00C9A84C"/>
      </patternFill>
    </fill>
    <fill>
      <patternFill patternType="solid">
        <fgColor rgb="002A2A2A"/>
      </patternFill>
    </fill>
    <fill>
      <patternFill patternType="solid">
        <fgColor rgb="001A1A1A"/>
      </patternFill>
    </fill>
    <fill>
      <patternFill patternType="solid">
        <fgColor rgb="0027AE60"/>
      </patternFill>
    </fill>
    <fill>
      <patternFill patternType="solid">
        <fgColor rgb="00E74C3C"/>
      </patternFill>
    </fill>
    <fill>
      <patternFill patternType="solid">
        <fgColor rgb="003498DB"/>
      </patternFill>
    </fill>
    <fill>
      <patternFill patternType="solid">
        <fgColor rgb="00E91E8C"/>
      </patternFill>
    </fill>
    <fill>
      <patternFill patternType="solid">
        <fgColor rgb="00F5D76E"/>
      </patternFill>
    </fill>
    <fill>
      <patternFill patternType="solid">
        <fgColor rgb="002ECC71"/>
      </patternFill>
    </fill>
    <fill>
      <patternFill patternType="solid">
        <fgColor rgb="003D3D3D"/>
      </patternFill>
    </fill>
    <fill>
      <patternFill patternType="solid">
        <fgColor rgb="00FFFFFF"/>
      </patternFill>
    </fill>
    <fill>
      <patternFill patternType="solid">
        <fgColor rgb="00E67E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164" fontId="12" fillId="4" borderId="0" applyAlignment="1" pivotButton="0" quotePrefix="0" xfId="0">
      <alignment horizontal="left" vertical="center"/>
    </xf>
    <xf numFmtId="164" fontId="13" fillId="4" borderId="0" applyAlignment="1" pivotButton="0" quotePrefix="0" xfId="0">
      <alignment horizontal="left" vertical="center"/>
    </xf>
    <xf numFmtId="164" fontId="14" fillId="4" borderId="0" applyAlignment="1" pivotButton="0" quotePrefix="0" xfId="0">
      <alignment horizontal="left" vertical="center"/>
    </xf>
    <xf numFmtId="1" fontId="15" fillId="4" borderId="0" applyAlignment="1" pivotButton="0" quotePrefix="0" xfId="0">
      <alignment horizontal="left" vertical="center"/>
    </xf>
    <xf numFmtId="1" fontId="16" fillId="4" borderId="0" applyAlignment="1" pivotButton="0" quotePrefix="0" xfId="0">
      <alignment horizontal="left" vertical="center"/>
    </xf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164" fontId="17" fillId="4" borderId="0" applyAlignment="1" pivotButton="0" quotePrefix="0" xfId="0">
      <alignment horizontal="left" vertical="center"/>
    </xf>
    <xf numFmtId="165" fontId="18" fillId="4" borderId="0" applyAlignment="1" pivotButton="0" quotePrefix="0" xfId="0">
      <alignment horizontal="left" vertical="center"/>
    </xf>
    <xf numFmtId="1" fontId="19" fillId="4" borderId="0" applyAlignment="1" pivotButton="0" quotePrefix="0" xfId="0">
      <alignment horizontal="left" vertical="center"/>
    </xf>
    <xf numFmtId="1" fontId="20" fillId="4" borderId="0" applyAlignment="1" pivotButton="0" quotePrefix="0" xfId="0">
      <alignment horizontal="left" vertical="center"/>
    </xf>
    <xf numFmtId="164" fontId="21" fillId="4" borderId="0" applyAlignment="1" pivotButton="0" quotePrefix="0" xfId="0">
      <alignment horizontal="left" vertical="center"/>
    </xf>
    <xf numFmtId="0" fontId="0" fillId="10" borderId="0" pivotButton="0" quotePrefix="0" xfId="0"/>
    <xf numFmtId="0" fontId="0" fillId="11" borderId="0" pivotButton="0" quotePrefix="0" xfId="0"/>
    <xf numFmtId="0" fontId="22" fillId="12" borderId="0" applyAlignment="1" pivotButton="0" quotePrefix="0" xfId="0">
      <alignment horizontal="left" vertical="center"/>
    </xf>
    <xf numFmtId="0" fontId="23" fillId="4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/>
    </xf>
    <xf numFmtId="0" fontId="2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25" fillId="2" borderId="0" applyAlignment="1" pivotButton="0" quotePrefix="0" xfId="0">
      <alignment horizontal="left" vertical="center"/>
    </xf>
    <xf numFmtId="0" fontId="23" fillId="12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/>
    </xf>
    <xf numFmtId="164" fontId="8" fillId="4" borderId="0" applyAlignment="1" pivotButton="0" quotePrefix="0" xfId="0">
      <alignment horizontal="center" vertical="center"/>
    </xf>
    <xf numFmtId="164" fontId="26" fillId="4" borderId="0" applyAlignment="1" pivotButton="0" quotePrefix="0" xfId="0">
      <alignment horizontal="center" vertical="center"/>
    </xf>
    <xf numFmtId="164" fontId="8" fillId="5" borderId="0" applyAlignment="1" pivotButton="0" quotePrefix="0" xfId="0">
      <alignment horizontal="center" vertical="center"/>
    </xf>
    <xf numFmtId="164" fontId="26" fillId="5" borderId="0" applyAlignment="1" pivotButton="0" quotePrefix="0" xfId="0">
      <alignment horizontal="center" vertical="center"/>
    </xf>
    <xf numFmtId="0" fontId="4" fillId="12" borderId="0" applyAlignment="1" pivotButton="0" quotePrefix="0" xfId="0">
      <alignment horizontal="right" vertical="center"/>
    </xf>
    <xf numFmtId="164" fontId="27" fillId="12" borderId="0" pivotButton="0" quotePrefix="0" xfId="0"/>
    <xf numFmtId="164" fontId="4" fillId="12" borderId="0" pivotButton="0" quotePrefix="0" xfId="0"/>
    <xf numFmtId="164" fontId="28" fillId="12" borderId="0" pivotButton="0" quotePrefix="0" xfId="0"/>
    <xf numFmtId="0" fontId="29" fillId="2" borderId="0" applyAlignment="1" pivotButton="0" quotePrefix="0" xfId="0">
      <alignment horizontal="left" vertical="center"/>
    </xf>
    <xf numFmtId="1" fontId="8" fillId="4" borderId="0" applyAlignment="1" pivotButton="0" quotePrefix="0" xfId="0">
      <alignment horizontal="center" vertical="center"/>
    </xf>
    <xf numFmtId="1" fontId="8" fillId="5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left" vertical="center"/>
    </xf>
    <xf numFmtId="164" fontId="30" fillId="4" borderId="0" applyAlignment="1" pivotButton="0" quotePrefix="0" xfId="0">
      <alignment horizontal="center" vertical="center"/>
    </xf>
    <xf numFmtId="164" fontId="31" fillId="4" borderId="0" applyAlignment="1" pivotButton="0" quotePrefix="0" xfId="0">
      <alignment horizontal="center" vertical="center"/>
    </xf>
    <xf numFmtId="164" fontId="32" fillId="4" borderId="0" applyAlignment="1" pivotButton="0" quotePrefix="0" xfId="0">
      <alignment horizontal="center" vertical="center"/>
    </xf>
    <xf numFmtId="165" fontId="33" fillId="4" borderId="0" applyAlignment="1" pivotButton="0" quotePrefix="0" xfId="0">
      <alignment horizontal="center" vertical="center"/>
    </xf>
    <xf numFmtId="164" fontId="34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left" vertical="center"/>
    </xf>
    <xf numFmtId="0" fontId="35" fillId="3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164" fontId="36" fillId="4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left" vertical="center"/>
    </xf>
    <xf numFmtId="166" fontId="11" fillId="4" borderId="0" applyAlignment="1" pivotButton="0" quotePrefix="0" xfId="0">
      <alignment horizontal="right" vertical="center"/>
    </xf>
    <xf numFmtId="0" fontId="37" fillId="4" borderId="0" applyAlignment="1" pivotButton="0" quotePrefix="0" xfId="0">
      <alignment horizontal="left" vertical="center"/>
    </xf>
    <xf numFmtId="164" fontId="38" fillId="4" borderId="0" applyAlignment="1" pivotButton="0" quotePrefix="0" xfId="0">
      <alignment horizontal="right" vertical="center"/>
    </xf>
    <xf numFmtId="0" fontId="39" fillId="4" borderId="0" applyAlignment="1" pivotButton="0" quotePrefix="0" xfId="0">
      <alignment horizontal="left" vertical="center"/>
    </xf>
    <xf numFmtId="164" fontId="40" fillId="4" borderId="0" applyAlignment="1" pivotButton="0" quotePrefix="0" xfId="0">
      <alignment horizontal="right" vertical="center"/>
    </xf>
    <xf numFmtId="0" fontId="41" fillId="4" borderId="0" applyAlignment="1" pivotButton="0" quotePrefix="0" xfId="0">
      <alignment horizontal="left" vertical="center"/>
    </xf>
    <xf numFmtId="164" fontId="42" fillId="4" borderId="0" applyAlignment="1" pivotButton="0" quotePrefix="0" xfId="0">
      <alignment horizontal="right" vertical="center"/>
    </xf>
    <xf numFmtId="0" fontId="43" fillId="4" borderId="0" applyAlignment="1" pivotButton="0" quotePrefix="0" xfId="0">
      <alignment horizontal="left" vertical="center"/>
    </xf>
    <xf numFmtId="164" fontId="44" fillId="4" borderId="0" applyAlignment="1" pivotButton="0" quotePrefix="0" xfId="0">
      <alignment horizontal="right" vertical="center"/>
    </xf>
    <xf numFmtId="0" fontId="45" fillId="4" borderId="0" applyAlignment="1" pivotButton="0" quotePrefix="0" xfId="0">
      <alignment horizontal="left" vertical="center"/>
    </xf>
    <xf numFmtId="164" fontId="46" fillId="4" borderId="0" applyAlignment="1" pivotButton="0" quotePrefix="0" xfId="0">
      <alignment horizontal="right" vertical="center"/>
    </xf>
    <xf numFmtId="0" fontId="4" fillId="12" borderId="0" applyAlignment="1" pivotButton="0" quotePrefix="0" xfId="0">
      <alignment horizontal="left" vertical="center"/>
    </xf>
    <xf numFmtId="164" fontId="32" fillId="12" borderId="0" applyAlignment="1" pivotButton="0" quotePrefix="0" xfId="0">
      <alignment horizontal="right" vertical="center"/>
    </xf>
    <xf numFmtId="0" fontId="47" fillId="12" borderId="0" applyAlignment="1" pivotButton="0" quotePrefix="0" xfId="0">
      <alignment horizontal="left" vertical="center"/>
    </xf>
    <xf numFmtId="164" fontId="48" fillId="12" borderId="0" applyAlignment="1" pivotButton="0" quotePrefix="0" xfId="0">
      <alignment horizontal="right" vertical="center"/>
    </xf>
    <xf numFmtId="0" fontId="27" fillId="12" borderId="0" applyAlignment="1" pivotButton="0" quotePrefix="0" xfId="0">
      <alignment horizontal="left" vertical="center"/>
    </xf>
    <xf numFmtId="164" fontId="30" fillId="12" borderId="0" applyAlignment="1" pivotButton="0" quotePrefix="0" xfId="0">
      <alignment horizontal="right" vertical="center"/>
    </xf>
    <xf numFmtId="0" fontId="49" fillId="12" borderId="0" applyAlignment="1" pivotButton="0" quotePrefix="0" xfId="0">
      <alignment horizontal="left" vertical="center"/>
    </xf>
    <xf numFmtId="164" fontId="50" fillId="12" borderId="0" applyAlignment="1" pivotButton="0" quotePrefix="0" xfId="0">
      <alignment horizontal="right" vertical="center"/>
    </xf>
    <xf numFmtId="164" fontId="51" fillId="12" borderId="0" applyAlignment="1" pivotButton="0" quotePrefix="0" xfId="0">
      <alignment horizontal="center" vertical="center"/>
    </xf>
    <xf numFmtId="0" fontId="52" fillId="4" borderId="0" applyAlignment="1" pivotButton="0" quotePrefix="0" xfId="0">
      <alignment horizontal="center" vertical="center"/>
    </xf>
    <xf numFmtId="0" fontId="53" fillId="4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164" fontId="35" fillId="3" borderId="0" applyAlignment="1" pivotButton="0" quotePrefix="0" xfId="0">
      <alignment horizontal="center" vertical="center"/>
    </xf>
    <xf numFmtId="9" fontId="35" fillId="3" borderId="0" applyAlignment="1" pivotButton="0" quotePrefix="0" xfId="0">
      <alignment horizontal="center" vertical="center"/>
    </xf>
    <xf numFmtId="0" fontId="54" fillId="4" borderId="0" applyAlignment="1" pivotButton="0" quotePrefix="0" xfId="0">
      <alignment horizontal="center" vertical="center"/>
    </xf>
    <xf numFmtId="0" fontId="55" fillId="4" borderId="0" applyAlignment="1" pivotButton="0" quotePrefix="0" xfId="0">
      <alignment horizontal="center" vertical="center"/>
    </xf>
    <xf numFmtId="0" fontId="56" fillId="4" borderId="0" applyAlignment="1" pivotButton="0" quotePrefix="0" xfId="0">
      <alignment horizontal="center" vertical="center"/>
    </xf>
    <xf numFmtId="164" fontId="51" fillId="4" borderId="0" applyAlignment="1" pivotButton="0" quotePrefix="0" xfId="0">
      <alignment horizontal="center" vertical="center"/>
    </xf>
    <xf numFmtId="164" fontId="57" fillId="4" borderId="0" applyAlignment="1" pivotButton="0" quotePrefix="0" xfId="0">
      <alignment horizontal="center" vertical="center"/>
    </xf>
    <xf numFmtId="9" fontId="8" fillId="4" borderId="0" applyAlignment="1" pivotButton="0" quotePrefix="0" xfId="0">
      <alignment horizontal="center" vertical="center"/>
    </xf>
    <xf numFmtId="0" fontId="58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164" fontId="25" fillId="4" borderId="0" applyAlignment="1" pivotButton="0" quotePrefix="0" xfId="0">
      <alignment horizontal="center" vertical="center"/>
    </xf>
    <xf numFmtId="167" fontId="8" fillId="4" borderId="0" applyAlignment="1" pivotButton="0" quotePrefix="0" xfId="0">
      <alignment horizontal="center" vertical="center"/>
    </xf>
    <xf numFmtId="167" fontId="8" fillId="5" borderId="0" applyAlignment="1" pivotButton="0" quotePrefix="0" xfId="0">
      <alignment horizontal="center" vertical="center"/>
    </xf>
    <xf numFmtId="9" fontId="59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/>
  </sheetPr>
  <dimension ref="A1:S5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2" customWidth="1" min="19" max="1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50" customHeight="1">
      <c r="A2" s="1" t="n"/>
      <c r="B2" s="2" t="inlineStr">
        <is>
          <t>CENTRAL TATTOO</t>
        </is>
      </c>
      <c r="S2" s="1" t="n"/>
    </row>
    <row r="3" ht="25" customHeight="1">
      <c r="A3" s="1" t="n"/>
      <c r="B3" s="3" t="inlineStr">
        <is>
          <t>SISTEMA COMPLETO DE GESTÃO PARA ESTÚDIOS DE TATUAGEM</t>
        </is>
      </c>
      <c r="S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3" customHeight="1">
      <c r="A5" s="1" t="n"/>
      <c r="B5" s="4" t="n"/>
      <c r="S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</row>
    <row r="7" ht="35" customHeight="1">
      <c r="A7" s="1" t="n"/>
      <c r="B7" s="5" t="inlineStr">
        <is>
          <t>📊</t>
        </is>
      </c>
      <c r="D7" s="5" t="inlineStr">
        <is>
          <t>📅</t>
        </is>
      </c>
      <c r="F7" s="5" t="inlineStr">
        <is>
          <t>👥</t>
        </is>
      </c>
      <c r="H7" s="5" t="inlineStr">
        <is>
          <t>💰</t>
        </is>
      </c>
      <c r="J7" s="5" t="inlineStr">
        <is>
          <t>🧮</t>
        </is>
      </c>
      <c r="L7" s="5" t="inlineStr">
        <is>
          <t>📦</t>
        </is>
      </c>
      <c r="N7" s="5" t="inlineStr">
        <is>
          <t>🎯</t>
        </is>
      </c>
      <c r="P7" s="5" t="inlineStr">
        <is>
          <t>📈</t>
        </is>
      </c>
      <c r="R7" s="1" t="n"/>
      <c r="S7" s="1" t="n"/>
    </row>
    <row r="8" ht="20" customHeight="1">
      <c r="A8" s="1" t="n"/>
      <c r="B8" s="6" t="inlineStr">
        <is>
          <t>DASHBOARD</t>
        </is>
      </c>
      <c r="D8" s="6" t="inlineStr">
        <is>
          <t>AGENDA</t>
        </is>
      </c>
      <c r="F8" s="6" t="inlineStr">
        <is>
          <t>CLIENTES</t>
        </is>
      </c>
      <c r="H8" s="6" t="inlineStr">
        <is>
          <t>FINANCEIRO</t>
        </is>
      </c>
      <c r="J8" s="6" t="inlineStr">
        <is>
          <t>CALCULADORA</t>
        </is>
      </c>
      <c r="L8" s="6" t="inlineStr">
        <is>
          <t>ESTOQUE</t>
        </is>
      </c>
      <c r="N8" s="6" t="inlineStr">
        <is>
          <t>LEADS</t>
        </is>
      </c>
      <c r="P8" s="6" t="inlineStr">
        <is>
          <t>METAS</t>
        </is>
      </c>
      <c r="R8" s="1" t="n"/>
      <c r="S8" s="1" t="n"/>
    </row>
    <row r="9" ht="28" customHeight="1">
      <c r="A9" s="1" t="n"/>
      <c r="B9" s="7" t="inlineStr">
        <is>
          <t>Visão geral
do negócio</t>
        </is>
      </c>
      <c r="D9" s="7" t="inlineStr">
        <is>
          <t>Agendamentos
e sessões</t>
        </is>
      </c>
      <c r="F9" s="7" t="inlineStr">
        <is>
          <t>CRM e
fidelização</t>
        </is>
      </c>
      <c r="H9" s="7" t="inlineStr">
        <is>
          <t>Receitas
e despesas</t>
        </is>
      </c>
      <c r="J9" s="7" t="inlineStr">
        <is>
          <t>Precificação
premium</t>
        </is>
      </c>
      <c r="L9" s="7" t="inlineStr">
        <is>
          <t>Materiais
e reposição</t>
        </is>
      </c>
      <c r="N9" s="7" t="inlineStr">
        <is>
          <t>Pipeline
de vendas</t>
        </is>
      </c>
      <c r="P9" s="7" t="inlineStr">
        <is>
          <t>Objetivos
e previsões</t>
        </is>
      </c>
      <c r="R9" s="1" t="n"/>
      <c r="S9" s="1" t="n"/>
    </row>
    <row r="10" ht="3" customHeight="1">
      <c r="A10" s="1" t="n"/>
      <c r="B10" s="4" t="n"/>
      <c r="D10" s="4" t="n"/>
      <c r="F10" s="4" t="n"/>
      <c r="H10" s="4" t="n"/>
      <c r="J10" s="4" t="n"/>
      <c r="L10" s="4" t="n"/>
      <c r="N10" s="4" t="n"/>
      <c r="P10" s="4" t="n"/>
      <c r="R10" s="1" t="n"/>
      <c r="S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</row>
    <row r="12" ht="28" customHeight="1">
      <c r="A12" s="1" t="n"/>
      <c r="B12" s="8" t="inlineStr">
        <is>
          <t>✅  COMO USAR O SISTEMA</t>
        </is>
      </c>
      <c r="S12" s="1" t="n"/>
    </row>
    <row r="13" ht="20" customHeight="1">
      <c r="A13" s="1" t="n"/>
      <c r="B13" s="9" t="inlineStr">
        <is>
          <t>1.</t>
        </is>
      </c>
      <c r="D13" s="10" t="inlineStr">
        <is>
          <t>Comece preenchendo seus dados na aba FINANCEIRO → Configure receitas e despesas mensais</t>
        </is>
      </c>
      <c r="S13" s="1" t="n"/>
    </row>
    <row r="14" ht="20" customHeight="1">
      <c r="A14" s="1" t="n"/>
      <c r="B14" s="9" t="inlineStr">
        <is>
          <t>2.</t>
        </is>
      </c>
      <c r="D14" s="10" t="inlineStr">
        <is>
          <t>Cadastre seus clientes na aba CLIENTES → Preencha nome, contato e histórico de tattoos</t>
        </is>
      </c>
      <c r="S14" s="1" t="n"/>
    </row>
    <row r="15" ht="20" customHeight="1">
      <c r="A15" s="1" t="n"/>
      <c r="B15" s="9" t="inlineStr">
        <is>
          <t>3.</t>
        </is>
      </c>
      <c r="D15" s="10" t="inlineStr">
        <is>
          <t>Use a CALCULADORA para precificar corretamente cada projeto sem perder margem</t>
        </is>
      </c>
      <c r="S15" s="1" t="n"/>
    </row>
    <row r="16" ht="20" customHeight="1">
      <c r="A16" s="1" t="n"/>
      <c r="B16" s="9" t="inlineStr">
        <is>
          <t>4.</t>
        </is>
      </c>
      <c r="D16" s="10" t="inlineStr">
        <is>
          <t>Acompanhe a AGENDA diariamente para controlar sessões e evitar conflitos</t>
        </is>
      </c>
      <c r="S16" s="1" t="n"/>
    </row>
    <row r="17" ht="20" customHeight="1">
      <c r="A17" s="1" t="n"/>
      <c r="B17" s="9" t="inlineStr">
        <is>
          <t>5.</t>
        </is>
      </c>
      <c r="D17" s="10" t="inlineStr">
        <is>
          <t>Registre todos os LEADS no pipeline para nenhuma oportunidade se perder</t>
        </is>
      </c>
      <c r="S17" s="1" t="n"/>
    </row>
    <row r="18" ht="20" customHeight="1">
      <c r="A18" s="1" t="n"/>
      <c r="B18" s="9" t="inlineStr">
        <is>
          <t>6.</t>
        </is>
      </c>
      <c r="D18" s="10" t="inlineStr">
        <is>
          <t>Monitore o DASHBOARD semanalmente para tomar decisões com dados reais</t>
        </is>
      </c>
      <c r="S18" s="1" t="n"/>
    </row>
    <row r="19" ht="20" customHeight="1">
      <c r="A19" s="1" t="n"/>
      <c r="B19" s="9" t="inlineStr">
        <is>
          <t>7.</t>
        </is>
      </c>
      <c r="D19" s="10" t="inlineStr">
        <is>
          <t>Use as METAS para definir objetivos mensais e acompanhar o crescimento</t>
        </is>
      </c>
      <c r="S19" s="1" t="n"/>
    </row>
    <row r="20" ht="20" customHeight="1">
      <c r="A20" s="1" t="n"/>
      <c r="B20" s="9" t="inlineStr">
        <is>
          <t>8.</t>
        </is>
      </c>
      <c r="D20" s="10" t="inlineStr">
        <is>
          <t>Controle o ESTOQUE para evitar falta de material durante as sessões</t>
        </is>
      </c>
      <c r="S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</row>
    <row r="22" ht="25" customHeight="1">
      <c r="A22" s="1" t="n"/>
      <c r="B22" s="11" t="inlineStr">
        <is>
          <t>💎  Central Tattoo — Sistema Premium de Gestão para Tatuadores  |  Versão 2026</t>
        </is>
      </c>
      <c r="S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</row>
  </sheetData>
  <mergeCells count="53">
    <mergeCell ref="B16:C16"/>
    <mergeCell ref="D10:E10"/>
    <mergeCell ref="B7:C7"/>
    <mergeCell ref="L7:M7"/>
    <mergeCell ref="F10:G10"/>
    <mergeCell ref="N7:O7"/>
    <mergeCell ref="H10:I10"/>
    <mergeCell ref="D13:R13"/>
    <mergeCell ref="J10:K10"/>
    <mergeCell ref="P10:Q10"/>
    <mergeCell ref="B3:R3"/>
    <mergeCell ref="B18:C18"/>
    <mergeCell ref="H9:I9"/>
    <mergeCell ref="D17:R17"/>
    <mergeCell ref="F7:G7"/>
    <mergeCell ref="J9:K9"/>
    <mergeCell ref="P9:Q9"/>
    <mergeCell ref="B22:R22"/>
    <mergeCell ref="D16:R16"/>
    <mergeCell ref="B12:R12"/>
    <mergeCell ref="P8:Q8"/>
    <mergeCell ref="B2:R2"/>
    <mergeCell ref="B14:C14"/>
    <mergeCell ref="B17:C17"/>
    <mergeCell ref="L8:M8"/>
    <mergeCell ref="B8:C8"/>
    <mergeCell ref="D18:R18"/>
    <mergeCell ref="N8:O8"/>
    <mergeCell ref="F8:G8"/>
    <mergeCell ref="B13:C13"/>
    <mergeCell ref="D15:R15"/>
    <mergeCell ref="D7:E7"/>
    <mergeCell ref="P7:Q7"/>
    <mergeCell ref="H7:I7"/>
    <mergeCell ref="B19:C19"/>
    <mergeCell ref="L10:M10"/>
    <mergeCell ref="B10:C10"/>
    <mergeCell ref="J7:K7"/>
    <mergeCell ref="N10:O10"/>
    <mergeCell ref="D14:R14"/>
    <mergeCell ref="B9:C9"/>
    <mergeCell ref="D9:E9"/>
    <mergeCell ref="D20:R20"/>
    <mergeCell ref="F9:G9"/>
    <mergeCell ref="L9:M9"/>
    <mergeCell ref="D8:E8"/>
    <mergeCell ref="N9:O9"/>
    <mergeCell ref="B15:C15"/>
    <mergeCell ref="D19:R19"/>
    <mergeCell ref="B20:C20"/>
    <mergeCell ref="H8:I8"/>
    <mergeCell ref="B5:R5"/>
    <mergeCell ref="J8:K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8B800"/>
    <outlinePr summaryBelow="1" summaryRight="1"/>
    <pageSetUpPr/>
  </sheetPr>
  <dimension ref="A1:Y7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40" customHeight="1">
      <c r="A2" s="1" t="n"/>
      <c r="B2" s="12" t="inlineStr">
        <is>
          <t>📊  DASHBOARD — CENTRAL TATTOO</t>
        </is>
      </c>
    </row>
    <row r="3">
      <c r="A3" s="1" t="n"/>
      <c r="B3" s="13">
        <f>TEXT(TODAY(),"MMMM \ YYYY")</f>
        <v/>
      </c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22" customHeight="1">
      <c r="A5" s="1" t="n"/>
      <c r="B5" s="14" t="inlineStr">
        <is>
          <t>💰 FATURAMENTO MES</t>
        </is>
      </c>
      <c r="G5" s="14" t="inlineStr">
        <is>
          <t>📉 DESPESAS MES</t>
        </is>
      </c>
      <c r="L5" s="14" t="inlineStr">
        <is>
          <t>💎 LUCRO LIQUIDO</t>
        </is>
      </c>
      <c r="Q5" s="14" t="inlineStr">
        <is>
          <t>🎯 SESSOES MES</t>
        </is>
      </c>
      <c r="V5" s="14" t="inlineStr">
        <is>
          <t>👥 CLIENTES NOVOS</t>
        </is>
      </c>
    </row>
    <row r="6" ht="36" customHeight="1">
      <c r="A6" s="1" t="n"/>
      <c r="B6" s="15">
        <f>SUMIF(Financeiro!C:C,"Receita",Financeiro!D:D)</f>
        <v/>
      </c>
      <c r="G6" s="16">
        <f>SUMIF(Financeiro!C:C,"Despesa",Financeiro!D:D)</f>
        <v/>
      </c>
      <c r="L6" s="17">
        <f>B6-G6</f>
        <v/>
      </c>
      <c r="Q6" s="18">
        <f>COUNTA(Agenda!B:B)-1</f>
        <v/>
      </c>
      <c r="V6" s="19">
        <f>COUNTIF(Clientes!G:G,"Novo")</f>
        <v/>
      </c>
    </row>
    <row r="7" ht="22" customHeight="1">
      <c r="A7" s="1" t="n"/>
      <c r="B7" s="1" t="n"/>
      <c r="G7" s="1" t="n"/>
      <c r="L7" s="1" t="n"/>
      <c r="Q7" s="1" t="n"/>
      <c r="V7" s="1" t="n"/>
    </row>
    <row r="8" ht="22" customHeight="1">
      <c r="A8" s="1" t="n"/>
      <c r="B8" s="20" t="n"/>
      <c r="G8" s="21" t="n"/>
      <c r="L8" s="4" t="n"/>
      <c r="Q8" s="22" t="n"/>
      <c r="V8" s="23" t="n"/>
    </row>
    <row r="9" ht="8" customHeight="1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20" customHeight="1">
      <c r="A10" s="1" t="n"/>
      <c r="B10" s="14" t="inlineStr">
        <is>
          <t>🎫 TICKET MEDIO</t>
        </is>
      </c>
      <c r="G10" s="14" t="inlineStr">
        <is>
          <t>📊 MARGEM LUCRO</t>
        </is>
      </c>
      <c r="L10" s="14" t="inlineStr">
        <is>
          <t>❌ CANCELAMENTOS</t>
        </is>
      </c>
      <c r="Q10" s="14" t="inlineStr">
        <is>
          <t>⭐ CLIENTES FIDELIZ.</t>
        </is>
      </c>
      <c r="V10" s="14" t="inlineStr">
        <is>
          <t>📦 VALOR ESTOQUE</t>
        </is>
      </c>
    </row>
    <row r="11" ht="32" customHeight="1">
      <c r="A11" s="1" t="n"/>
      <c r="B11" s="24">
        <f>IFERROR(B6/Q6,0)</f>
        <v/>
      </c>
      <c r="G11" s="25">
        <f>IFERROR(L6/B6,0)</f>
        <v/>
      </c>
      <c r="L11" s="26">
        <f>COUNTIF(Agenda!F:F,"Cancelado")</f>
        <v/>
      </c>
      <c r="Q11" s="27">
        <f>COUNTIF(Clientes!G:G,"Fidelizado")</f>
        <v/>
      </c>
      <c r="V11" s="28">
        <f>SUMPRODUCT(Estoque!C2:C100,Estoque!D2:D100)</f>
        <v/>
      </c>
    </row>
    <row r="12" ht="20" customHeight="1">
      <c r="A12" s="1" t="n"/>
      <c r="B12" s="1" t="n"/>
      <c r="G12" s="1" t="n"/>
      <c r="L12" s="1" t="n"/>
      <c r="Q12" s="1" t="n"/>
      <c r="V12" s="1" t="n"/>
    </row>
    <row r="13" ht="20" customHeight="1">
      <c r="A13" s="1" t="n"/>
      <c r="B13" s="29" t="n"/>
      <c r="G13" s="30" t="n"/>
      <c r="L13" s="21" t="n"/>
      <c r="Q13" s="20" t="n"/>
      <c r="V13" s="22" t="n"/>
    </row>
    <row r="14" ht="10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20" customHeight="1">
      <c r="A15" s="1" t="n"/>
      <c r="B15" s="31" t="inlineStr">
        <is>
          <t>📅  PRÓXIMAS SESSÕES</t>
        </is>
      </c>
      <c r="M15" s="31" t="inlineStr">
        <is>
          <t>🎯  METAS DO MÊS</t>
        </is>
      </c>
    </row>
    <row r="16">
      <c r="A16" s="1" t="n"/>
      <c r="B16" s="32" t="inlineStr">
        <is>
          <t>Data</t>
        </is>
      </c>
      <c r="C16" s="32" t="inlineStr">
        <is>
          <t>Hora</t>
        </is>
      </c>
      <c r="D16" s="32" t="inlineStr">
        <is>
          <t>Cliente</t>
        </is>
      </c>
      <c r="E16" s="32" t="inlineStr">
        <is>
          <t>Estilo</t>
        </is>
      </c>
      <c r="F16" s="32" t="inlineStr">
        <is>
          <t>Valor</t>
        </is>
      </c>
      <c r="G16" s="32" t="inlineStr">
        <is>
          <t>Status</t>
        </is>
      </c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8" customHeight="1">
      <c r="A17" s="1" t="n"/>
      <c r="B17" s="33" t="inlineStr"/>
      <c r="C17" s="33" t="inlineStr"/>
      <c r="D17" s="33" t="inlineStr"/>
      <c r="E17" s="33" t="inlineStr"/>
      <c r="F17" s="33" t="inlineStr"/>
      <c r="G17" s="33" t="inlineStr"/>
      <c r="H17" s="1" t="n"/>
      <c r="I17" s="1" t="n"/>
      <c r="J17" s="1" t="n"/>
      <c r="K17" s="1" t="n"/>
      <c r="L17" s="1" t="n"/>
      <c r="M17" s="34" t="inlineStr">
        <is>
          <t>Faturamento Alvo</t>
        </is>
      </c>
      <c r="R17" s="35" t="inlineStr">
        <is>
          <t>R$ 8.000</t>
        </is>
      </c>
      <c r="V17" s="36" t="inlineStr">
        <is>
          <t>Atualizar</t>
        </is>
      </c>
    </row>
    <row r="18" ht="18" customHeight="1">
      <c r="A18" s="1" t="n"/>
      <c r="B18" s="33" t="inlineStr"/>
      <c r="C18" s="33" t="inlineStr"/>
      <c r="D18" s="33" t="inlineStr"/>
      <c r="E18" s="33" t="inlineStr"/>
      <c r="F18" s="33" t="inlineStr"/>
      <c r="G18" s="33" t="inlineStr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8" customHeight="1">
      <c r="A19" s="1" t="n"/>
      <c r="B19" s="33" t="inlineStr"/>
      <c r="C19" s="33" t="inlineStr"/>
      <c r="D19" s="33" t="inlineStr"/>
      <c r="E19" s="33" t="inlineStr"/>
      <c r="F19" s="33" t="inlineStr"/>
      <c r="G19" s="33" t="inlineStr"/>
      <c r="H19" s="1" t="n"/>
      <c r="I19" s="1" t="n"/>
      <c r="J19" s="1" t="n"/>
      <c r="K19" s="1" t="n"/>
      <c r="L19" s="1" t="n"/>
      <c r="M19" s="34" t="inlineStr">
        <is>
          <t>Sessões Alvo</t>
        </is>
      </c>
      <c r="R19" s="35" t="inlineStr">
        <is>
          <t>20</t>
        </is>
      </c>
      <c r="V19" s="36" t="inlineStr">
        <is>
          <t>Atualizar</t>
        </is>
      </c>
    </row>
    <row r="20" ht="18" customHeight="1">
      <c r="A20" s="1" t="n"/>
      <c r="B20" s="33" t="inlineStr"/>
      <c r="C20" s="33" t="inlineStr"/>
      <c r="D20" s="33" t="inlineStr"/>
      <c r="E20" s="33" t="inlineStr"/>
      <c r="F20" s="33" t="inlineStr"/>
      <c r="G20" s="33" t="inlineStr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</row>
    <row r="21" ht="18" customHeight="1">
      <c r="A21" s="1" t="n"/>
      <c r="B21" s="33" t="inlineStr"/>
      <c r="C21" s="33" t="inlineStr"/>
      <c r="D21" s="33" t="inlineStr"/>
      <c r="E21" s="33" t="inlineStr"/>
      <c r="F21" s="33" t="inlineStr"/>
      <c r="G21" s="33" t="inlineStr"/>
      <c r="H21" s="1" t="n"/>
      <c r="I21" s="1" t="n"/>
      <c r="J21" s="1" t="n"/>
      <c r="K21" s="1" t="n"/>
      <c r="L21" s="1" t="n"/>
      <c r="M21" s="34" t="inlineStr">
        <is>
          <t>Novos Clientes</t>
        </is>
      </c>
      <c r="R21" s="35" t="inlineStr">
        <is>
          <t>5</t>
        </is>
      </c>
      <c r="V21" s="36" t="inlineStr">
        <is>
          <t>Atualizar</t>
        </is>
      </c>
    </row>
    <row r="22" ht="18" customHeight="1">
      <c r="A22" s="1" t="n"/>
      <c r="B22" s="33" t="inlineStr"/>
      <c r="C22" s="33" t="inlineStr"/>
      <c r="D22" s="33" t="inlineStr"/>
      <c r="E22" s="33" t="inlineStr"/>
      <c r="F22" s="33" t="inlineStr"/>
      <c r="G22" s="33" t="inlineStr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8" customHeight="1">
      <c r="A23" s="1" t="n"/>
      <c r="B23" s="33" t="inlineStr"/>
      <c r="C23" s="33" t="inlineStr"/>
      <c r="D23" s="33" t="inlineStr"/>
      <c r="E23" s="33" t="inlineStr"/>
      <c r="F23" s="33" t="inlineStr"/>
      <c r="G23" s="33" t="inlineStr"/>
      <c r="H23" s="1" t="n"/>
      <c r="I23" s="1" t="n"/>
      <c r="J23" s="1" t="n"/>
      <c r="K23" s="1" t="n"/>
      <c r="L23" s="1" t="n"/>
      <c r="M23" s="34" t="inlineStr">
        <is>
          <t>Ticket Médio Alvo</t>
        </is>
      </c>
      <c r="R23" s="35" t="inlineStr">
        <is>
          <t>R$ 400</t>
        </is>
      </c>
      <c r="V23" s="36" t="inlineStr">
        <is>
          <t>Atualizar</t>
        </is>
      </c>
    </row>
    <row r="24" ht="18" customHeight="1">
      <c r="A24" s="1" t="n"/>
      <c r="B24" s="33" t="inlineStr"/>
      <c r="C24" s="33" t="inlineStr"/>
      <c r="D24" s="33" t="inlineStr"/>
      <c r="E24" s="33" t="inlineStr"/>
      <c r="F24" s="33" t="inlineStr"/>
      <c r="G24" s="33" t="inlineStr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8" customHeight="1">
      <c r="A25" s="1" t="n"/>
      <c r="B25" s="33" t="inlineStr"/>
      <c r="C25" s="33" t="inlineStr"/>
      <c r="D25" s="33" t="inlineStr"/>
      <c r="E25" s="33" t="inlineStr"/>
      <c r="F25" s="33" t="inlineStr"/>
      <c r="G25" s="33" t="inlineStr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8" customHeight="1">
      <c r="A26" s="1" t="n"/>
      <c r="B26" s="33" t="inlineStr"/>
      <c r="C26" s="33" t="inlineStr"/>
      <c r="D26" s="33" t="inlineStr"/>
      <c r="E26" s="33" t="inlineStr"/>
      <c r="F26" s="33" t="inlineStr"/>
      <c r="G26" s="33" t="inlineStr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</sheetData>
  <mergeCells count="56">
    <mergeCell ref="Q7:U7"/>
    <mergeCell ref="R17:U17"/>
    <mergeCell ref="B7:F7"/>
    <mergeCell ref="Q12:U12"/>
    <mergeCell ref="G12:K12"/>
    <mergeCell ref="L7:P7"/>
    <mergeCell ref="B2:Y2"/>
    <mergeCell ref="B3:F3"/>
    <mergeCell ref="G11:K11"/>
    <mergeCell ref="V7:Y7"/>
    <mergeCell ref="L13:P13"/>
    <mergeCell ref="G8:K8"/>
    <mergeCell ref="Q8:U8"/>
    <mergeCell ref="B12:F12"/>
    <mergeCell ref="L12:P12"/>
    <mergeCell ref="G7:K7"/>
    <mergeCell ref="R23:U23"/>
    <mergeCell ref="V21:Y21"/>
    <mergeCell ref="B11:F11"/>
    <mergeCell ref="V12:Y12"/>
    <mergeCell ref="Q5:U5"/>
    <mergeCell ref="G10:K10"/>
    <mergeCell ref="V17:Y17"/>
    <mergeCell ref="G13:K13"/>
    <mergeCell ref="Q10:U10"/>
    <mergeCell ref="B8:F8"/>
    <mergeCell ref="L5:P5"/>
    <mergeCell ref="G6:K6"/>
    <mergeCell ref="V5:Y5"/>
    <mergeCell ref="L8:P8"/>
    <mergeCell ref="B13:F13"/>
    <mergeCell ref="V23:Y23"/>
    <mergeCell ref="R19:U19"/>
    <mergeCell ref="V13:Y13"/>
    <mergeCell ref="V8:Y8"/>
    <mergeCell ref="M21:Q21"/>
    <mergeCell ref="B10:F10"/>
    <mergeCell ref="Q6:U6"/>
    <mergeCell ref="L10:P10"/>
    <mergeCell ref="G5:K5"/>
    <mergeCell ref="V10:Y10"/>
    <mergeCell ref="V19:Y19"/>
    <mergeCell ref="M17:Q17"/>
    <mergeCell ref="B6:F6"/>
    <mergeCell ref="B15:L15"/>
    <mergeCell ref="L6:P6"/>
    <mergeCell ref="Q11:U11"/>
    <mergeCell ref="R21:U21"/>
    <mergeCell ref="B5:F5"/>
    <mergeCell ref="V6:Y6"/>
    <mergeCell ref="M23:Q23"/>
    <mergeCell ref="L11:P11"/>
    <mergeCell ref="M19:Q19"/>
    <mergeCell ref="V11:Y11"/>
    <mergeCell ref="M15:Y15"/>
    <mergeCell ref="Q13:U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498DB"/>
    <outlinePr summaryBelow="1" summaryRight="1"/>
    <pageSetUpPr/>
  </sheetPr>
  <dimension ref="A1:O19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8" customWidth="1" min="3" max="3"/>
    <col width="20" customWidth="1" min="4" max="4"/>
    <col width="14" customWidth="1" min="5" max="5"/>
    <col width="14" customWidth="1" min="6" max="6"/>
    <col width="14" customWidth="1" min="7" max="7"/>
    <col width="12" customWidth="1" min="8" max="8"/>
    <col width="12" customWidth="1" min="9" max="9"/>
    <col width="12" customWidth="1" min="10" max="10"/>
    <col width="10" customWidth="1" min="11" max="11"/>
    <col width="12" customWidth="1" min="12" max="12"/>
    <col width="20" customWidth="1" min="13" max="13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5" customHeight="1">
      <c r="A2" s="1" t="n"/>
      <c r="B2" s="37" t="inlineStr">
        <is>
          <t>📅  AGENDA DE SESSÕES — CENTRAL TATTOO</t>
        </is>
      </c>
      <c r="O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22" customHeight="1">
      <c r="A4" s="1" t="n"/>
      <c r="B4" s="38" t="inlineStr">
        <is>
          <t>DATA</t>
        </is>
      </c>
      <c r="C4" s="38" t="inlineStr">
        <is>
          <t>HORA</t>
        </is>
      </c>
      <c r="D4" s="38" t="inlineStr">
        <is>
          <t>CLIENTE</t>
        </is>
      </c>
      <c r="E4" s="38" t="inlineStr">
        <is>
          <t>TELEFONE</t>
        </is>
      </c>
      <c r="F4" s="38" t="inlineStr">
        <is>
          <t>ESTILO</t>
        </is>
      </c>
      <c r="G4" s="38" t="inlineStr">
        <is>
          <t>STATUS</t>
        </is>
      </c>
      <c r="H4" s="38" t="inlineStr">
        <is>
          <t>VALOR (R$)</t>
        </is>
      </c>
      <c r="I4" s="38" t="inlineStr">
        <is>
          <t>SINAL (R$)</t>
        </is>
      </c>
      <c r="J4" s="38" t="inlineStr">
        <is>
          <t>SALDO (R$)</t>
        </is>
      </c>
      <c r="K4" s="38" t="inlineStr">
        <is>
          <t>DURAÇÃO</t>
        </is>
      </c>
      <c r="L4" s="38" t="inlineStr">
        <is>
          <t>LOCAL</t>
        </is>
      </c>
      <c r="M4" s="38" t="inlineStr">
        <is>
          <t>OBS</t>
        </is>
      </c>
      <c r="N4" s="1" t="n"/>
      <c r="O4" s="1" t="n"/>
    </row>
    <row r="5" ht="18" customHeight="1">
      <c r="A5" s="1" t="n"/>
      <c r="B5" s="39" t="n"/>
      <c r="C5" s="39" t="n"/>
      <c r="D5" s="39" t="n"/>
      <c r="E5" s="39" t="n"/>
      <c r="F5" s="39" t="n"/>
      <c r="G5" s="40" t="n"/>
      <c r="H5" s="40" t="n"/>
      <c r="I5" s="41">
        <f>IF(G5&lt;&gt;"",G5-H5,"")</f>
        <v/>
      </c>
      <c r="J5" s="39" t="n"/>
      <c r="K5" s="39" t="n"/>
      <c r="L5" s="39" t="n"/>
      <c r="M5" s="39" t="n"/>
      <c r="N5" s="1" t="n"/>
      <c r="O5" s="1" t="n"/>
    </row>
    <row r="6" ht="18" customHeight="1">
      <c r="A6" s="1" t="n"/>
      <c r="B6" s="33" t="n"/>
      <c r="C6" s="33" t="n"/>
      <c r="D6" s="33" t="n"/>
      <c r="E6" s="33" t="n"/>
      <c r="F6" s="33" t="n"/>
      <c r="G6" s="42" t="n"/>
      <c r="H6" s="42" t="n"/>
      <c r="I6" s="43">
        <f>IF(G6&lt;&gt;"",G6-H6,"")</f>
        <v/>
      </c>
      <c r="J6" s="33" t="n"/>
      <c r="K6" s="33" t="n"/>
      <c r="L6" s="33" t="n"/>
      <c r="M6" s="33" t="n"/>
      <c r="N6" s="1" t="n"/>
      <c r="O6" s="1" t="n"/>
    </row>
    <row r="7" ht="18" customHeight="1">
      <c r="A7" s="1" t="n"/>
      <c r="B7" s="39" t="n"/>
      <c r="C7" s="39" t="n"/>
      <c r="D7" s="39" t="n"/>
      <c r="E7" s="39" t="n"/>
      <c r="F7" s="39" t="n"/>
      <c r="G7" s="40" t="n"/>
      <c r="H7" s="40" t="n"/>
      <c r="I7" s="41">
        <f>IF(G7&lt;&gt;"",G7-H7,"")</f>
        <v/>
      </c>
      <c r="J7" s="39" t="n"/>
      <c r="K7" s="39" t="n"/>
      <c r="L7" s="39" t="n"/>
      <c r="M7" s="39" t="n"/>
      <c r="N7" s="1" t="n"/>
      <c r="O7" s="1" t="n"/>
    </row>
    <row r="8" ht="18" customHeight="1">
      <c r="A8" s="1" t="n"/>
      <c r="B8" s="33" t="n"/>
      <c r="C8" s="33" t="n"/>
      <c r="D8" s="33" t="n"/>
      <c r="E8" s="33" t="n"/>
      <c r="F8" s="33" t="n"/>
      <c r="G8" s="42" t="n"/>
      <c r="H8" s="42" t="n"/>
      <c r="I8" s="43">
        <f>IF(G8&lt;&gt;"",G8-H8,"")</f>
        <v/>
      </c>
      <c r="J8" s="33" t="n"/>
      <c r="K8" s="33" t="n"/>
      <c r="L8" s="33" t="n"/>
      <c r="M8" s="33" t="n"/>
      <c r="N8" s="1" t="n"/>
      <c r="O8" s="1" t="n"/>
    </row>
    <row r="9" ht="18" customHeight="1">
      <c r="A9" s="1" t="n"/>
      <c r="B9" s="39" t="n"/>
      <c r="C9" s="39" t="n"/>
      <c r="D9" s="39" t="n"/>
      <c r="E9" s="39" t="n"/>
      <c r="F9" s="39" t="n"/>
      <c r="G9" s="40" t="n"/>
      <c r="H9" s="40" t="n"/>
      <c r="I9" s="41">
        <f>IF(G9&lt;&gt;"",G9-H9,"")</f>
        <v/>
      </c>
      <c r="J9" s="39" t="n"/>
      <c r="K9" s="39" t="n"/>
      <c r="L9" s="39" t="n"/>
      <c r="M9" s="39" t="n"/>
      <c r="N9" s="1" t="n"/>
      <c r="O9" s="1" t="n"/>
    </row>
    <row r="10" ht="18" customHeight="1">
      <c r="A10" s="1" t="n"/>
      <c r="B10" s="33" t="n"/>
      <c r="C10" s="33" t="n"/>
      <c r="D10" s="33" t="n"/>
      <c r="E10" s="33" t="n"/>
      <c r="F10" s="33" t="n"/>
      <c r="G10" s="42" t="n"/>
      <c r="H10" s="42" t="n"/>
      <c r="I10" s="43">
        <f>IF(G10&lt;&gt;"",G10-H10,"")</f>
        <v/>
      </c>
      <c r="J10" s="33" t="n"/>
      <c r="K10" s="33" t="n"/>
      <c r="L10" s="33" t="n"/>
      <c r="M10" s="33" t="n"/>
      <c r="N10" s="1" t="n"/>
      <c r="O10" s="1" t="n"/>
    </row>
    <row r="11" ht="18" customHeight="1">
      <c r="A11" s="1" t="n"/>
      <c r="B11" s="39" t="n"/>
      <c r="C11" s="39" t="n"/>
      <c r="D11" s="39" t="n"/>
      <c r="E11" s="39" t="n"/>
      <c r="F11" s="39" t="n"/>
      <c r="G11" s="40" t="n"/>
      <c r="H11" s="40" t="n"/>
      <c r="I11" s="41">
        <f>IF(G11&lt;&gt;"",G11-H11,"")</f>
        <v/>
      </c>
      <c r="J11" s="39" t="n"/>
      <c r="K11" s="39" t="n"/>
      <c r="L11" s="39" t="n"/>
      <c r="M11" s="39" t="n"/>
      <c r="N11" s="1" t="n"/>
      <c r="O11" s="1" t="n"/>
    </row>
    <row r="12" ht="18" customHeight="1">
      <c r="A12" s="1" t="n"/>
      <c r="B12" s="33" t="n"/>
      <c r="C12" s="33" t="n"/>
      <c r="D12" s="33" t="n"/>
      <c r="E12" s="33" t="n"/>
      <c r="F12" s="33" t="n"/>
      <c r="G12" s="42" t="n"/>
      <c r="H12" s="42" t="n"/>
      <c r="I12" s="43">
        <f>IF(G12&lt;&gt;"",G12-H12,"")</f>
        <v/>
      </c>
      <c r="J12" s="33" t="n"/>
      <c r="K12" s="33" t="n"/>
      <c r="L12" s="33" t="n"/>
      <c r="M12" s="33" t="n"/>
      <c r="N12" s="1" t="n"/>
      <c r="O12" s="1" t="n"/>
    </row>
    <row r="13" ht="18" customHeight="1">
      <c r="A13" s="1" t="n"/>
      <c r="B13" s="39" t="n"/>
      <c r="C13" s="39" t="n"/>
      <c r="D13" s="39" t="n"/>
      <c r="E13" s="39" t="n"/>
      <c r="F13" s="39" t="n"/>
      <c r="G13" s="40" t="n"/>
      <c r="H13" s="40" t="n"/>
      <c r="I13" s="41">
        <f>IF(G13&lt;&gt;"",G13-H13,"")</f>
        <v/>
      </c>
      <c r="J13" s="39" t="n"/>
      <c r="K13" s="39" t="n"/>
      <c r="L13" s="39" t="n"/>
      <c r="M13" s="39" t="n"/>
      <c r="N13" s="1" t="n"/>
      <c r="O13" s="1" t="n"/>
    </row>
    <row r="14" ht="18" customHeight="1">
      <c r="A14" s="1" t="n"/>
      <c r="B14" s="33" t="n"/>
      <c r="C14" s="33" t="n"/>
      <c r="D14" s="33" t="n"/>
      <c r="E14" s="33" t="n"/>
      <c r="F14" s="33" t="n"/>
      <c r="G14" s="42" t="n"/>
      <c r="H14" s="42" t="n"/>
      <c r="I14" s="43">
        <f>IF(G14&lt;&gt;"",G14-H14,"")</f>
        <v/>
      </c>
      <c r="J14" s="33" t="n"/>
      <c r="K14" s="33" t="n"/>
      <c r="L14" s="33" t="n"/>
      <c r="M14" s="33" t="n"/>
      <c r="N14" s="1" t="n"/>
      <c r="O14" s="1" t="n"/>
    </row>
    <row r="15" ht="18" customHeight="1">
      <c r="A15" s="1" t="n"/>
      <c r="B15" s="39" t="n"/>
      <c r="C15" s="39" t="n"/>
      <c r="D15" s="39" t="n"/>
      <c r="E15" s="39" t="n"/>
      <c r="F15" s="39" t="n"/>
      <c r="G15" s="40" t="n"/>
      <c r="H15" s="40" t="n"/>
      <c r="I15" s="41">
        <f>IF(G15&lt;&gt;"",G15-H15,"")</f>
        <v/>
      </c>
      <c r="J15" s="39" t="n"/>
      <c r="K15" s="39" t="n"/>
      <c r="L15" s="39" t="n"/>
      <c r="M15" s="39" t="n"/>
      <c r="N15" s="1" t="n"/>
      <c r="O15" s="1" t="n"/>
    </row>
    <row r="16" ht="18" customHeight="1">
      <c r="A16" s="1" t="n"/>
      <c r="B16" s="33" t="n"/>
      <c r="C16" s="33" t="n"/>
      <c r="D16" s="33" t="n"/>
      <c r="E16" s="33" t="n"/>
      <c r="F16" s="33" t="n"/>
      <c r="G16" s="42" t="n"/>
      <c r="H16" s="42" t="n"/>
      <c r="I16" s="43">
        <f>IF(G16&lt;&gt;"",G16-H16,"")</f>
        <v/>
      </c>
      <c r="J16" s="33" t="n"/>
      <c r="K16" s="33" t="n"/>
      <c r="L16" s="33" t="n"/>
      <c r="M16" s="33" t="n"/>
      <c r="N16" s="1" t="n"/>
      <c r="O16" s="1" t="n"/>
    </row>
    <row r="17" ht="18" customHeight="1">
      <c r="A17" s="1" t="n"/>
      <c r="B17" s="39" t="n"/>
      <c r="C17" s="39" t="n"/>
      <c r="D17" s="39" t="n"/>
      <c r="E17" s="39" t="n"/>
      <c r="F17" s="39" t="n"/>
      <c r="G17" s="40" t="n"/>
      <c r="H17" s="40" t="n"/>
      <c r="I17" s="41">
        <f>IF(G17&lt;&gt;"",G17-H17,"")</f>
        <v/>
      </c>
      <c r="J17" s="39" t="n"/>
      <c r="K17" s="39" t="n"/>
      <c r="L17" s="39" t="n"/>
      <c r="M17" s="39" t="n"/>
      <c r="N17" s="1" t="n"/>
      <c r="O17" s="1" t="n"/>
    </row>
    <row r="18" ht="18" customHeight="1">
      <c r="A18" s="1" t="n"/>
      <c r="B18" s="33" t="n"/>
      <c r="C18" s="33" t="n"/>
      <c r="D18" s="33" t="n"/>
      <c r="E18" s="33" t="n"/>
      <c r="F18" s="33" t="n"/>
      <c r="G18" s="42" t="n"/>
      <c r="H18" s="42" t="n"/>
      <c r="I18" s="43">
        <f>IF(G18&lt;&gt;"",G18-H18,"")</f>
        <v/>
      </c>
      <c r="J18" s="33" t="n"/>
      <c r="K18" s="33" t="n"/>
      <c r="L18" s="33" t="n"/>
      <c r="M18" s="33" t="n"/>
      <c r="N18" s="1" t="n"/>
      <c r="O18" s="1" t="n"/>
    </row>
    <row r="19" ht="18" customHeight="1">
      <c r="A19" s="1" t="n"/>
      <c r="B19" s="39" t="n"/>
      <c r="C19" s="39" t="n"/>
      <c r="D19" s="39" t="n"/>
      <c r="E19" s="39" t="n"/>
      <c r="F19" s="39" t="n"/>
      <c r="G19" s="40" t="n"/>
      <c r="H19" s="40" t="n"/>
      <c r="I19" s="41">
        <f>IF(G19&lt;&gt;"",G19-H19,"")</f>
        <v/>
      </c>
      <c r="J19" s="39" t="n"/>
      <c r="K19" s="39" t="n"/>
      <c r="L19" s="39" t="n"/>
      <c r="M19" s="39" t="n"/>
      <c r="N19" s="1" t="n"/>
      <c r="O19" s="1" t="n"/>
    </row>
    <row r="20" ht="18" customHeight="1">
      <c r="A20" s="1" t="n"/>
      <c r="B20" s="33" t="n"/>
      <c r="C20" s="33" t="n"/>
      <c r="D20" s="33" t="n"/>
      <c r="E20" s="33" t="n"/>
      <c r="F20" s="33" t="n"/>
      <c r="G20" s="42" t="n"/>
      <c r="H20" s="42" t="n"/>
      <c r="I20" s="43">
        <f>IF(G20&lt;&gt;"",G20-H20,"")</f>
        <v/>
      </c>
      <c r="J20" s="33" t="n"/>
      <c r="K20" s="33" t="n"/>
      <c r="L20" s="33" t="n"/>
      <c r="M20" s="33" t="n"/>
      <c r="N20" s="1" t="n"/>
      <c r="O20" s="1" t="n"/>
    </row>
    <row r="21" ht="18" customHeight="1">
      <c r="A21" s="1" t="n"/>
      <c r="B21" s="39" t="n"/>
      <c r="C21" s="39" t="n"/>
      <c r="D21" s="39" t="n"/>
      <c r="E21" s="39" t="n"/>
      <c r="F21" s="39" t="n"/>
      <c r="G21" s="40" t="n"/>
      <c r="H21" s="40" t="n"/>
      <c r="I21" s="41">
        <f>IF(G21&lt;&gt;"",G21-H21,"")</f>
        <v/>
      </c>
      <c r="J21" s="39" t="n"/>
      <c r="K21" s="39" t="n"/>
      <c r="L21" s="39" t="n"/>
      <c r="M21" s="39" t="n"/>
      <c r="N21" s="1" t="n"/>
      <c r="O21" s="1" t="n"/>
    </row>
    <row r="22" ht="18" customHeight="1">
      <c r="A22" s="1" t="n"/>
      <c r="B22" s="33" t="n"/>
      <c r="C22" s="33" t="n"/>
      <c r="D22" s="33" t="n"/>
      <c r="E22" s="33" t="n"/>
      <c r="F22" s="33" t="n"/>
      <c r="G22" s="42" t="n"/>
      <c r="H22" s="42" t="n"/>
      <c r="I22" s="43">
        <f>IF(G22&lt;&gt;"",G22-H22,"")</f>
        <v/>
      </c>
      <c r="J22" s="33" t="n"/>
      <c r="K22" s="33" t="n"/>
      <c r="L22" s="33" t="n"/>
      <c r="M22" s="33" t="n"/>
      <c r="N22" s="1" t="n"/>
      <c r="O22" s="1" t="n"/>
    </row>
    <row r="23" ht="18" customHeight="1">
      <c r="A23" s="1" t="n"/>
      <c r="B23" s="39" t="n"/>
      <c r="C23" s="39" t="n"/>
      <c r="D23" s="39" t="n"/>
      <c r="E23" s="39" t="n"/>
      <c r="F23" s="39" t="n"/>
      <c r="G23" s="40" t="n"/>
      <c r="H23" s="40" t="n"/>
      <c r="I23" s="41">
        <f>IF(G23&lt;&gt;"",G23-H23,"")</f>
        <v/>
      </c>
      <c r="J23" s="39" t="n"/>
      <c r="K23" s="39" t="n"/>
      <c r="L23" s="39" t="n"/>
      <c r="M23" s="39" t="n"/>
      <c r="N23" s="1" t="n"/>
      <c r="O23" s="1" t="n"/>
    </row>
    <row r="24" ht="18" customHeight="1">
      <c r="A24" s="1" t="n"/>
      <c r="B24" s="33" t="n"/>
      <c r="C24" s="33" t="n"/>
      <c r="D24" s="33" t="n"/>
      <c r="E24" s="33" t="n"/>
      <c r="F24" s="33" t="n"/>
      <c r="G24" s="42" t="n"/>
      <c r="H24" s="42" t="n"/>
      <c r="I24" s="43">
        <f>IF(G24&lt;&gt;"",G24-H24,"")</f>
        <v/>
      </c>
      <c r="J24" s="33" t="n"/>
      <c r="K24" s="33" t="n"/>
      <c r="L24" s="33" t="n"/>
      <c r="M24" s="33" t="n"/>
      <c r="N24" s="1" t="n"/>
      <c r="O24" s="1" t="n"/>
    </row>
    <row r="25" ht="18" customHeight="1">
      <c r="A25" s="1" t="n"/>
      <c r="B25" s="39" t="n"/>
      <c r="C25" s="39" t="n"/>
      <c r="D25" s="39" t="n"/>
      <c r="E25" s="39" t="n"/>
      <c r="F25" s="39" t="n"/>
      <c r="G25" s="40" t="n"/>
      <c r="H25" s="40" t="n"/>
      <c r="I25" s="41">
        <f>IF(G25&lt;&gt;"",G25-H25,"")</f>
        <v/>
      </c>
      <c r="J25" s="39" t="n"/>
      <c r="K25" s="39" t="n"/>
      <c r="L25" s="39" t="n"/>
      <c r="M25" s="39" t="n"/>
      <c r="N25" s="1" t="n"/>
      <c r="O25" s="1" t="n"/>
    </row>
    <row r="26" ht="18" customHeight="1">
      <c r="A26" s="1" t="n"/>
      <c r="B26" s="33" t="n"/>
      <c r="C26" s="33" t="n"/>
      <c r="D26" s="33" t="n"/>
      <c r="E26" s="33" t="n"/>
      <c r="F26" s="33" t="n"/>
      <c r="G26" s="42" t="n"/>
      <c r="H26" s="42" t="n"/>
      <c r="I26" s="43">
        <f>IF(G26&lt;&gt;"",G26-H26,"")</f>
        <v/>
      </c>
      <c r="J26" s="33" t="n"/>
      <c r="K26" s="33" t="n"/>
      <c r="L26" s="33" t="n"/>
      <c r="M26" s="33" t="n"/>
      <c r="N26" s="1" t="n"/>
      <c r="O26" s="1" t="n"/>
    </row>
    <row r="27" ht="18" customHeight="1">
      <c r="A27" s="1" t="n"/>
      <c r="B27" s="39" t="n"/>
      <c r="C27" s="39" t="n"/>
      <c r="D27" s="39" t="n"/>
      <c r="E27" s="39" t="n"/>
      <c r="F27" s="39" t="n"/>
      <c r="G27" s="40" t="n"/>
      <c r="H27" s="40" t="n"/>
      <c r="I27" s="41">
        <f>IF(G27&lt;&gt;"",G27-H27,"")</f>
        <v/>
      </c>
      <c r="J27" s="39" t="n"/>
      <c r="K27" s="39" t="n"/>
      <c r="L27" s="39" t="n"/>
      <c r="M27" s="39" t="n"/>
      <c r="N27" s="1" t="n"/>
      <c r="O27" s="1" t="n"/>
    </row>
    <row r="28" ht="18" customHeight="1">
      <c r="A28" s="1" t="n"/>
      <c r="B28" s="33" t="n"/>
      <c r="C28" s="33" t="n"/>
      <c r="D28" s="33" t="n"/>
      <c r="E28" s="33" t="n"/>
      <c r="F28" s="33" t="n"/>
      <c r="G28" s="42" t="n"/>
      <c r="H28" s="42" t="n"/>
      <c r="I28" s="43">
        <f>IF(G28&lt;&gt;"",G28-H28,"")</f>
        <v/>
      </c>
      <c r="J28" s="33" t="n"/>
      <c r="K28" s="33" t="n"/>
      <c r="L28" s="33" t="n"/>
      <c r="M28" s="33" t="n"/>
      <c r="N28" s="1" t="n"/>
      <c r="O28" s="1" t="n"/>
    </row>
    <row r="29" ht="18" customHeight="1">
      <c r="A29" s="1" t="n"/>
      <c r="B29" s="39" t="n"/>
      <c r="C29" s="39" t="n"/>
      <c r="D29" s="39" t="n"/>
      <c r="E29" s="39" t="n"/>
      <c r="F29" s="39" t="n"/>
      <c r="G29" s="40" t="n"/>
      <c r="H29" s="40" t="n"/>
      <c r="I29" s="41">
        <f>IF(G29&lt;&gt;"",G29-H29,"")</f>
        <v/>
      </c>
      <c r="J29" s="39" t="n"/>
      <c r="K29" s="39" t="n"/>
      <c r="L29" s="39" t="n"/>
      <c r="M29" s="39" t="n"/>
      <c r="N29" s="1" t="n"/>
      <c r="O29" s="1" t="n"/>
    </row>
    <row r="30" ht="18" customHeight="1">
      <c r="A30" s="1" t="n"/>
      <c r="B30" s="33" t="n"/>
      <c r="C30" s="33" t="n"/>
      <c r="D30" s="33" t="n"/>
      <c r="E30" s="33" t="n"/>
      <c r="F30" s="33" t="n"/>
      <c r="G30" s="42" t="n"/>
      <c r="H30" s="42" t="n"/>
      <c r="I30" s="43">
        <f>IF(G30&lt;&gt;"",G30-H30,"")</f>
        <v/>
      </c>
      <c r="J30" s="33" t="n"/>
      <c r="K30" s="33" t="n"/>
      <c r="L30" s="33" t="n"/>
      <c r="M30" s="33" t="n"/>
      <c r="N30" s="1" t="n"/>
      <c r="O30" s="1" t="n"/>
    </row>
    <row r="31" ht="18" customHeight="1">
      <c r="A31" s="1" t="n"/>
      <c r="B31" s="39" t="n"/>
      <c r="C31" s="39" t="n"/>
      <c r="D31" s="39" t="n"/>
      <c r="E31" s="39" t="n"/>
      <c r="F31" s="39" t="n"/>
      <c r="G31" s="40" t="n"/>
      <c r="H31" s="40" t="n"/>
      <c r="I31" s="41">
        <f>IF(G31&lt;&gt;"",G31-H31,"")</f>
        <v/>
      </c>
      <c r="J31" s="39" t="n"/>
      <c r="K31" s="39" t="n"/>
      <c r="L31" s="39" t="n"/>
      <c r="M31" s="39" t="n"/>
      <c r="N31" s="1" t="n"/>
      <c r="O31" s="1" t="n"/>
    </row>
    <row r="32" ht="18" customHeight="1">
      <c r="A32" s="1" t="n"/>
      <c r="B32" s="33" t="n"/>
      <c r="C32" s="33" t="n"/>
      <c r="D32" s="33" t="n"/>
      <c r="E32" s="33" t="n"/>
      <c r="F32" s="33" t="n"/>
      <c r="G32" s="42" t="n"/>
      <c r="H32" s="42" t="n"/>
      <c r="I32" s="43">
        <f>IF(G32&lt;&gt;"",G32-H32,"")</f>
        <v/>
      </c>
      <c r="J32" s="33" t="n"/>
      <c r="K32" s="33" t="n"/>
      <c r="L32" s="33" t="n"/>
      <c r="M32" s="33" t="n"/>
      <c r="N32" s="1" t="n"/>
      <c r="O32" s="1" t="n"/>
    </row>
    <row r="33" ht="18" customHeight="1">
      <c r="A33" s="1" t="n"/>
      <c r="B33" s="39" t="n"/>
      <c r="C33" s="39" t="n"/>
      <c r="D33" s="39" t="n"/>
      <c r="E33" s="39" t="n"/>
      <c r="F33" s="39" t="n"/>
      <c r="G33" s="40" t="n"/>
      <c r="H33" s="40" t="n"/>
      <c r="I33" s="41">
        <f>IF(G33&lt;&gt;"",G33-H33,"")</f>
        <v/>
      </c>
      <c r="J33" s="39" t="n"/>
      <c r="K33" s="39" t="n"/>
      <c r="L33" s="39" t="n"/>
      <c r="M33" s="39" t="n"/>
      <c r="N33" s="1" t="n"/>
      <c r="O33" s="1" t="n"/>
    </row>
    <row r="34" ht="18" customHeight="1">
      <c r="A34" s="1" t="n"/>
      <c r="B34" s="33" t="n"/>
      <c r="C34" s="33" t="n"/>
      <c r="D34" s="33" t="n"/>
      <c r="E34" s="33" t="n"/>
      <c r="F34" s="33" t="n"/>
      <c r="G34" s="42" t="n"/>
      <c r="H34" s="42" t="n"/>
      <c r="I34" s="43">
        <f>IF(G34&lt;&gt;"",G34-H34,"")</f>
        <v/>
      </c>
      <c r="J34" s="33" t="n"/>
      <c r="K34" s="33" t="n"/>
      <c r="L34" s="33" t="n"/>
      <c r="M34" s="33" t="n"/>
      <c r="N34" s="1" t="n"/>
      <c r="O34" s="1" t="n"/>
    </row>
    <row r="35" ht="18" customHeight="1">
      <c r="A35" s="1" t="n"/>
      <c r="B35" s="39" t="n"/>
      <c r="C35" s="39" t="n"/>
      <c r="D35" s="39" t="n"/>
      <c r="E35" s="39" t="n"/>
      <c r="F35" s="39" t="n"/>
      <c r="G35" s="40" t="n"/>
      <c r="H35" s="40" t="n"/>
      <c r="I35" s="41">
        <f>IF(G35&lt;&gt;"",G35-H35,"")</f>
        <v/>
      </c>
      <c r="J35" s="39" t="n"/>
      <c r="K35" s="39" t="n"/>
      <c r="L35" s="39" t="n"/>
      <c r="M35" s="39" t="n"/>
      <c r="N35" s="1" t="n"/>
      <c r="O35" s="1" t="n"/>
    </row>
    <row r="36" ht="18" customHeight="1">
      <c r="A36" s="1" t="n"/>
      <c r="B36" s="33" t="n"/>
      <c r="C36" s="33" t="n"/>
      <c r="D36" s="33" t="n"/>
      <c r="E36" s="33" t="n"/>
      <c r="F36" s="33" t="n"/>
      <c r="G36" s="42" t="n"/>
      <c r="H36" s="42" t="n"/>
      <c r="I36" s="43">
        <f>IF(G36&lt;&gt;"",G36-H36,"")</f>
        <v/>
      </c>
      <c r="J36" s="33" t="n"/>
      <c r="K36" s="33" t="n"/>
      <c r="L36" s="33" t="n"/>
      <c r="M36" s="33" t="n"/>
      <c r="N36" s="1" t="n"/>
      <c r="O36" s="1" t="n"/>
    </row>
    <row r="37" ht="18" customHeight="1">
      <c r="A37" s="1" t="n"/>
      <c r="B37" s="39" t="n"/>
      <c r="C37" s="39" t="n"/>
      <c r="D37" s="39" t="n"/>
      <c r="E37" s="39" t="n"/>
      <c r="F37" s="39" t="n"/>
      <c r="G37" s="40" t="n"/>
      <c r="H37" s="40" t="n"/>
      <c r="I37" s="41">
        <f>IF(G37&lt;&gt;"",G37-H37,"")</f>
        <v/>
      </c>
      <c r="J37" s="39" t="n"/>
      <c r="K37" s="39" t="n"/>
      <c r="L37" s="39" t="n"/>
      <c r="M37" s="39" t="n"/>
      <c r="N37" s="1" t="n"/>
      <c r="O37" s="1" t="n"/>
    </row>
    <row r="38" ht="18" customHeight="1">
      <c r="A38" s="1" t="n"/>
      <c r="B38" s="33" t="n"/>
      <c r="C38" s="33" t="n"/>
      <c r="D38" s="33" t="n"/>
      <c r="E38" s="33" t="n"/>
      <c r="F38" s="33" t="n"/>
      <c r="G38" s="42" t="n"/>
      <c r="H38" s="42" t="n"/>
      <c r="I38" s="43">
        <f>IF(G38&lt;&gt;"",G38-H38,"")</f>
        <v/>
      </c>
      <c r="J38" s="33" t="n"/>
      <c r="K38" s="33" t="n"/>
      <c r="L38" s="33" t="n"/>
      <c r="M38" s="33" t="n"/>
      <c r="N38" s="1" t="n"/>
      <c r="O38" s="1" t="n"/>
    </row>
    <row r="39" ht="18" customHeight="1">
      <c r="A39" s="1" t="n"/>
      <c r="B39" s="39" t="n"/>
      <c r="C39" s="39" t="n"/>
      <c r="D39" s="39" t="n"/>
      <c r="E39" s="39" t="n"/>
      <c r="F39" s="39" t="n"/>
      <c r="G39" s="40" t="n"/>
      <c r="H39" s="40" t="n"/>
      <c r="I39" s="41">
        <f>IF(G39&lt;&gt;"",G39-H39,"")</f>
        <v/>
      </c>
      <c r="J39" s="39" t="n"/>
      <c r="K39" s="39" t="n"/>
      <c r="L39" s="39" t="n"/>
      <c r="M39" s="39" t="n"/>
      <c r="N39" s="1" t="n"/>
      <c r="O39" s="1" t="n"/>
    </row>
    <row r="40" ht="18" customHeight="1">
      <c r="A40" s="1" t="n"/>
      <c r="B40" s="33" t="n"/>
      <c r="C40" s="33" t="n"/>
      <c r="D40" s="33" t="n"/>
      <c r="E40" s="33" t="n"/>
      <c r="F40" s="33" t="n"/>
      <c r="G40" s="42" t="n"/>
      <c r="H40" s="42" t="n"/>
      <c r="I40" s="43">
        <f>IF(G40&lt;&gt;"",G40-H40,"")</f>
        <v/>
      </c>
      <c r="J40" s="33" t="n"/>
      <c r="K40" s="33" t="n"/>
      <c r="L40" s="33" t="n"/>
      <c r="M40" s="33" t="n"/>
      <c r="N40" s="1" t="n"/>
      <c r="O40" s="1" t="n"/>
    </row>
    <row r="41" ht="18" customHeight="1">
      <c r="A41" s="1" t="n"/>
      <c r="B41" s="39" t="n"/>
      <c r="C41" s="39" t="n"/>
      <c r="D41" s="39" t="n"/>
      <c r="E41" s="39" t="n"/>
      <c r="F41" s="39" t="n"/>
      <c r="G41" s="40" t="n"/>
      <c r="H41" s="40" t="n"/>
      <c r="I41" s="41">
        <f>IF(G41&lt;&gt;"",G41-H41,"")</f>
        <v/>
      </c>
      <c r="J41" s="39" t="n"/>
      <c r="K41" s="39" t="n"/>
      <c r="L41" s="39" t="n"/>
      <c r="M41" s="39" t="n"/>
      <c r="N41" s="1" t="n"/>
      <c r="O41" s="1" t="n"/>
    </row>
    <row r="42" ht="18" customHeight="1">
      <c r="A42" s="1" t="n"/>
      <c r="B42" s="33" t="n"/>
      <c r="C42" s="33" t="n"/>
      <c r="D42" s="33" t="n"/>
      <c r="E42" s="33" t="n"/>
      <c r="F42" s="33" t="n"/>
      <c r="G42" s="42" t="n"/>
      <c r="H42" s="42" t="n"/>
      <c r="I42" s="43">
        <f>IF(G42&lt;&gt;"",G42-H42,"")</f>
        <v/>
      </c>
      <c r="J42" s="33" t="n"/>
      <c r="K42" s="33" t="n"/>
      <c r="L42" s="33" t="n"/>
      <c r="M42" s="33" t="n"/>
      <c r="N42" s="1" t="n"/>
      <c r="O42" s="1" t="n"/>
    </row>
    <row r="43" ht="18" customHeight="1">
      <c r="A43" s="1" t="n"/>
      <c r="B43" s="39" t="n"/>
      <c r="C43" s="39" t="n"/>
      <c r="D43" s="39" t="n"/>
      <c r="E43" s="39" t="n"/>
      <c r="F43" s="39" t="n"/>
      <c r="G43" s="40" t="n"/>
      <c r="H43" s="40" t="n"/>
      <c r="I43" s="41">
        <f>IF(G43&lt;&gt;"",G43-H43,"")</f>
        <v/>
      </c>
      <c r="J43" s="39" t="n"/>
      <c r="K43" s="39" t="n"/>
      <c r="L43" s="39" t="n"/>
      <c r="M43" s="39" t="n"/>
      <c r="N43" s="1" t="n"/>
      <c r="O43" s="1" t="n"/>
    </row>
    <row r="44" ht="18" customHeight="1">
      <c r="A44" s="1" t="n"/>
      <c r="B44" s="33" t="n"/>
      <c r="C44" s="33" t="n"/>
      <c r="D44" s="33" t="n"/>
      <c r="E44" s="33" t="n"/>
      <c r="F44" s="33" t="n"/>
      <c r="G44" s="42" t="n"/>
      <c r="H44" s="42" t="n"/>
      <c r="I44" s="43">
        <f>IF(G44&lt;&gt;"",G44-H44,"")</f>
        <v/>
      </c>
      <c r="J44" s="33" t="n"/>
      <c r="K44" s="33" t="n"/>
      <c r="L44" s="33" t="n"/>
      <c r="M44" s="33" t="n"/>
      <c r="N44" s="1" t="n"/>
      <c r="O44" s="1" t="n"/>
    </row>
    <row r="45" ht="18" customHeight="1">
      <c r="A45" s="1" t="n"/>
      <c r="B45" s="39" t="n"/>
      <c r="C45" s="39" t="n"/>
      <c r="D45" s="39" t="n"/>
      <c r="E45" s="39" t="n"/>
      <c r="F45" s="39" t="n"/>
      <c r="G45" s="40" t="n"/>
      <c r="H45" s="40" t="n"/>
      <c r="I45" s="41">
        <f>IF(G45&lt;&gt;"",G45-H45,"")</f>
        <v/>
      </c>
      <c r="J45" s="39" t="n"/>
      <c r="K45" s="39" t="n"/>
      <c r="L45" s="39" t="n"/>
      <c r="M45" s="39" t="n"/>
      <c r="N45" s="1" t="n"/>
      <c r="O45" s="1" t="n"/>
    </row>
    <row r="46" ht="18" customHeight="1">
      <c r="A46" s="1" t="n"/>
      <c r="B46" s="33" t="n"/>
      <c r="C46" s="33" t="n"/>
      <c r="D46" s="33" t="n"/>
      <c r="E46" s="33" t="n"/>
      <c r="F46" s="33" t="n"/>
      <c r="G46" s="42" t="n"/>
      <c r="H46" s="42" t="n"/>
      <c r="I46" s="43">
        <f>IF(G46&lt;&gt;"",G46-H46,"")</f>
        <v/>
      </c>
      <c r="J46" s="33" t="n"/>
      <c r="K46" s="33" t="n"/>
      <c r="L46" s="33" t="n"/>
      <c r="M46" s="33" t="n"/>
      <c r="N46" s="1" t="n"/>
      <c r="O46" s="1" t="n"/>
    </row>
    <row r="47" ht="18" customHeight="1">
      <c r="A47" s="1" t="n"/>
      <c r="B47" s="39" t="n"/>
      <c r="C47" s="39" t="n"/>
      <c r="D47" s="39" t="n"/>
      <c r="E47" s="39" t="n"/>
      <c r="F47" s="39" t="n"/>
      <c r="G47" s="40" t="n"/>
      <c r="H47" s="40" t="n"/>
      <c r="I47" s="41">
        <f>IF(G47&lt;&gt;"",G47-H47,"")</f>
        <v/>
      </c>
      <c r="J47" s="39" t="n"/>
      <c r="K47" s="39" t="n"/>
      <c r="L47" s="39" t="n"/>
      <c r="M47" s="39" t="n"/>
      <c r="N47" s="1" t="n"/>
      <c r="O47" s="1" t="n"/>
    </row>
    <row r="48" ht="18" customHeight="1">
      <c r="A48" s="1" t="n"/>
      <c r="B48" s="33" t="n"/>
      <c r="C48" s="33" t="n"/>
      <c r="D48" s="33" t="n"/>
      <c r="E48" s="33" t="n"/>
      <c r="F48" s="33" t="n"/>
      <c r="G48" s="42" t="n"/>
      <c r="H48" s="42" t="n"/>
      <c r="I48" s="43">
        <f>IF(G48&lt;&gt;"",G48-H48,"")</f>
        <v/>
      </c>
      <c r="J48" s="33" t="n"/>
      <c r="K48" s="33" t="n"/>
      <c r="L48" s="33" t="n"/>
      <c r="M48" s="33" t="n"/>
      <c r="N48" s="1" t="n"/>
      <c r="O48" s="1" t="n"/>
    </row>
    <row r="49" ht="18" customHeight="1">
      <c r="A49" s="1" t="n"/>
      <c r="B49" s="39" t="n"/>
      <c r="C49" s="39" t="n"/>
      <c r="D49" s="39" t="n"/>
      <c r="E49" s="39" t="n"/>
      <c r="F49" s="39" t="n"/>
      <c r="G49" s="40" t="n"/>
      <c r="H49" s="40" t="n"/>
      <c r="I49" s="41">
        <f>IF(G49&lt;&gt;"",G49-H49,"")</f>
        <v/>
      </c>
      <c r="J49" s="39" t="n"/>
      <c r="K49" s="39" t="n"/>
      <c r="L49" s="39" t="n"/>
      <c r="M49" s="39" t="n"/>
      <c r="N49" s="1" t="n"/>
      <c r="O49" s="1" t="n"/>
    </row>
    <row r="50" ht="18" customHeight="1">
      <c r="A50" s="1" t="n"/>
      <c r="B50" s="33" t="n"/>
      <c r="C50" s="33" t="n"/>
      <c r="D50" s="33" t="n"/>
      <c r="E50" s="33" t="n"/>
      <c r="F50" s="33" t="n"/>
      <c r="G50" s="42" t="n"/>
      <c r="H50" s="42" t="n"/>
      <c r="I50" s="43">
        <f>IF(G50&lt;&gt;"",G50-H50,"")</f>
        <v/>
      </c>
      <c r="J50" s="33" t="n"/>
      <c r="K50" s="33" t="n"/>
      <c r="L50" s="33" t="n"/>
      <c r="M50" s="33" t="n"/>
      <c r="N50" s="1" t="n"/>
      <c r="O50" s="1" t="n"/>
    </row>
    <row r="51" ht="18" customHeight="1">
      <c r="A51" s="1" t="n"/>
      <c r="B51" s="39" t="n"/>
      <c r="C51" s="39" t="n"/>
      <c r="D51" s="39" t="n"/>
      <c r="E51" s="39" t="n"/>
      <c r="F51" s="39" t="n"/>
      <c r="G51" s="40" t="n"/>
      <c r="H51" s="40" t="n"/>
      <c r="I51" s="41">
        <f>IF(G51&lt;&gt;"",G51-H51,"")</f>
        <v/>
      </c>
      <c r="J51" s="39" t="n"/>
      <c r="K51" s="39" t="n"/>
      <c r="L51" s="39" t="n"/>
      <c r="M51" s="39" t="n"/>
      <c r="N51" s="1" t="n"/>
      <c r="O51" s="1" t="n"/>
    </row>
    <row r="52" ht="18" customHeight="1">
      <c r="A52" s="1" t="n"/>
      <c r="B52" s="33" t="n"/>
      <c r="C52" s="33" t="n"/>
      <c r="D52" s="33" t="n"/>
      <c r="E52" s="33" t="n"/>
      <c r="F52" s="33" t="n"/>
      <c r="G52" s="42" t="n"/>
      <c r="H52" s="42" t="n"/>
      <c r="I52" s="43">
        <f>IF(G52&lt;&gt;"",G52-H52,"")</f>
        <v/>
      </c>
      <c r="J52" s="33" t="n"/>
      <c r="K52" s="33" t="n"/>
      <c r="L52" s="33" t="n"/>
      <c r="M52" s="33" t="n"/>
      <c r="N52" s="1" t="n"/>
      <c r="O52" s="1" t="n"/>
    </row>
    <row r="53" ht="18" customHeight="1">
      <c r="A53" s="1" t="n"/>
      <c r="B53" s="39" t="n"/>
      <c r="C53" s="39" t="n"/>
      <c r="D53" s="39" t="n"/>
      <c r="E53" s="39" t="n"/>
      <c r="F53" s="39" t="n"/>
      <c r="G53" s="40" t="n"/>
      <c r="H53" s="40" t="n"/>
      <c r="I53" s="41">
        <f>IF(G53&lt;&gt;"",G53-H53,"")</f>
        <v/>
      </c>
      <c r="J53" s="39" t="n"/>
      <c r="K53" s="39" t="n"/>
      <c r="L53" s="39" t="n"/>
      <c r="M53" s="39" t="n"/>
      <c r="N53" s="1" t="n"/>
      <c r="O53" s="1" t="n"/>
    </row>
    <row r="54" ht="18" customHeight="1">
      <c r="A54" s="1" t="n"/>
      <c r="B54" s="33" t="n"/>
      <c r="C54" s="33" t="n"/>
      <c r="D54" s="33" t="n"/>
      <c r="E54" s="33" t="n"/>
      <c r="F54" s="33" t="n"/>
      <c r="G54" s="42" t="n"/>
      <c r="H54" s="42" t="n"/>
      <c r="I54" s="43">
        <f>IF(G54&lt;&gt;"",G54-H54,"")</f>
        <v/>
      </c>
      <c r="J54" s="33" t="n"/>
      <c r="K54" s="33" t="n"/>
      <c r="L54" s="33" t="n"/>
      <c r="M54" s="33" t="n"/>
      <c r="N54" s="1" t="n"/>
      <c r="O54" s="1" t="n"/>
    </row>
    <row r="55" ht="18" customHeight="1">
      <c r="A55" s="1" t="n"/>
      <c r="B55" s="39" t="n"/>
      <c r="C55" s="39" t="n"/>
      <c r="D55" s="39" t="n"/>
      <c r="E55" s="39" t="n"/>
      <c r="F55" s="39" t="n"/>
      <c r="G55" s="40" t="n"/>
      <c r="H55" s="40" t="n"/>
      <c r="I55" s="41">
        <f>IF(G55&lt;&gt;"",G55-H55,"")</f>
        <v/>
      </c>
      <c r="J55" s="39" t="n"/>
      <c r="K55" s="39" t="n"/>
      <c r="L55" s="39" t="n"/>
      <c r="M55" s="39" t="n"/>
      <c r="N55" s="1" t="n"/>
      <c r="O55" s="1" t="n"/>
    </row>
    <row r="56" ht="18" customHeight="1">
      <c r="A56" s="1" t="n"/>
      <c r="B56" s="33" t="n"/>
      <c r="C56" s="33" t="n"/>
      <c r="D56" s="33" t="n"/>
      <c r="E56" s="33" t="n"/>
      <c r="F56" s="33" t="n"/>
      <c r="G56" s="42" t="n"/>
      <c r="H56" s="42" t="n"/>
      <c r="I56" s="43">
        <f>IF(G56&lt;&gt;"",G56-H56,"")</f>
        <v/>
      </c>
      <c r="J56" s="33" t="n"/>
      <c r="K56" s="33" t="n"/>
      <c r="L56" s="33" t="n"/>
      <c r="M56" s="33" t="n"/>
      <c r="N56" s="1" t="n"/>
      <c r="O56" s="1" t="n"/>
    </row>
    <row r="57" ht="18" customHeight="1">
      <c r="A57" s="1" t="n"/>
      <c r="B57" s="39" t="n"/>
      <c r="C57" s="39" t="n"/>
      <c r="D57" s="39" t="n"/>
      <c r="E57" s="39" t="n"/>
      <c r="F57" s="39" t="n"/>
      <c r="G57" s="40" t="n"/>
      <c r="H57" s="40" t="n"/>
      <c r="I57" s="41">
        <f>IF(G57&lt;&gt;"",G57-H57,"")</f>
        <v/>
      </c>
      <c r="J57" s="39" t="n"/>
      <c r="K57" s="39" t="n"/>
      <c r="L57" s="39" t="n"/>
      <c r="M57" s="39" t="n"/>
      <c r="N57" s="1" t="n"/>
      <c r="O57" s="1" t="n"/>
    </row>
    <row r="58" ht="18" customHeight="1">
      <c r="A58" s="1" t="n"/>
      <c r="B58" s="33" t="n"/>
      <c r="C58" s="33" t="n"/>
      <c r="D58" s="33" t="n"/>
      <c r="E58" s="33" t="n"/>
      <c r="F58" s="33" t="n"/>
      <c r="G58" s="42" t="n"/>
      <c r="H58" s="42" t="n"/>
      <c r="I58" s="43">
        <f>IF(G58&lt;&gt;"",G58-H58,"")</f>
        <v/>
      </c>
      <c r="J58" s="33" t="n"/>
      <c r="K58" s="33" t="n"/>
      <c r="L58" s="33" t="n"/>
      <c r="M58" s="33" t="n"/>
      <c r="N58" s="1" t="n"/>
      <c r="O58" s="1" t="n"/>
    </row>
    <row r="59" ht="18" customHeight="1">
      <c r="A59" s="1" t="n"/>
      <c r="B59" s="39" t="n"/>
      <c r="C59" s="39" t="n"/>
      <c r="D59" s="39" t="n"/>
      <c r="E59" s="39" t="n"/>
      <c r="F59" s="39" t="n"/>
      <c r="G59" s="40" t="n"/>
      <c r="H59" s="40" t="n"/>
      <c r="I59" s="41">
        <f>IF(G59&lt;&gt;"",G59-H59,"")</f>
        <v/>
      </c>
      <c r="J59" s="39" t="n"/>
      <c r="K59" s="39" t="n"/>
      <c r="L59" s="39" t="n"/>
      <c r="M59" s="39" t="n"/>
      <c r="N59" s="1" t="n"/>
      <c r="O59" s="1" t="n"/>
    </row>
    <row r="60" ht="18" customHeight="1">
      <c r="A60" s="1" t="n"/>
      <c r="B60" s="33" t="n"/>
      <c r="C60" s="33" t="n"/>
      <c r="D60" s="33" t="n"/>
      <c r="E60" s="33" t="n"/>
      <c r="F60" s="33" t="n"/>
      <c r="G60" s="42" t="n"/>
      <c r="H60" s="42" t="n"/>
      <c r="I60" s="43">
        <f>IF(G60&lt;&gt;"",G60-H60,"")</f>
        <v/>
      </c>
      <c r="J60" s="33" t="n"/>
      <c r="K60" s="33" t="n"/>
      <c r="L60" s="33" t="n"/>
      <c r="M60" s="33" t="n"/>
      <c r="N60" s="1" t="n"/>
      <c r="O60" s="1" t="n"/>
    </row>
    <row r="61" ht="18" customHeight="1">
      <c r="A61" s="1" t="n"/>
      <c r="B61" s="39" t="n"/>
      <c r="C61" s="39" t="n"/>
      <c r="D61" s="39" t="n"/>
      <c r="E61" s="39" t="n"/>
      <c r="F61" s="39" t="n"/>
      <c r="G61" s="40" t="n"/>
      <c r="H61" s="40" t="n"/>
      <c r="I61" s="41">
        <f>IF(G61&lt;&gt;"",G61-H61,"")</f>
        <v/>
      </c>
      <c r="J61" s="39" t="n"/>
      <c r="K61" s="39" t="n"/>
      <c r="L61" s="39" t="n"/>
      <c r="M61" s="39" t="n"/>
      <c r="N61" s="1" t="n"/>
      <c r="O61" s="1" t="n"/>
    </row>
    <row r="62" ht="18" customHeight="1">
      <c r="A62" s="1" t="n"/>
      <c r="B62" s="33" t="n"/>
      <c r="C62" s="33" t="n"/>
      <c r="D62" s="33" t="n"/>
      <c r="E62" s="33" t="n"/>
      <c r="F62" s="33" t="n"/>
      <c r="G62" s="42" t="n"/>
      <c r="H62" s="42" t="n"/>
      <c r="I62" s="43">
        <f>IF(G62&lt;&gt;"",G62-H62,"")</f>
        <v/>
      </c>
      <c r="J62" s="33" t="n"/>
      <c r="K62" s="33" t="n"/>
      <c r="L62" s="33" t="n"/>
      <c r="M62" s="33" t="n"/>
      <c r="N62" s="1" t="n"/>
      <c r="O62" s="1" t="n"/>
    </row>
    <row r="63" ht="18" customHeight="1">
      <c r="A63" s="1" t="n"/>
      <c r="B63" s="39" t="n"/>
      <c r="C63" s="39" t="n"/>
      <c r="D63" s="39" t="n"/>
      <c r="E63" s="39" t="n"/>
      <c r="F63" s="39" t="n"/>
      <c r="G63" s="40" t="n"/>
      <c r="H63" s="40" t="n"/>
      <c r="I63" s="41">
        <f>IF(G63&lt;&gt;"",G63-H63,"")</f>
        <v/>
      </c>
      <c r="J63" s="39" t="n"/>
      <c r="K63" s="39" t="n"/>
      <c r="L63" s="39" t="n"/>
      <c r="M63" s="39" t="n"/>
      <c r="N63" s="1" t="n"/>
      <c r="O63" s="1" t="n"/>
    </row>
    <row r="64" ht="18" customHeight="1">
      <c r="A64" s="1" t="n"/>
      <c r="B64" s="33" t="n"/>
      <c r="C64" s="33" t="n"/>
      <c r="D64" s="33" t="n"/>
      <c r="E64" s="33" t="n"/>
      <c r="F64" s="33" t="n"/>
      <c r="G64" s="42" t="n"/>
      <c r="H64" s="42" t="n"/>
      <c r="I64" s="43">
        <f>IF(G64&lt;&gt;"",G64-H64,"")</f>
        <v/>
      </c>
      <c r="J64" s="33" t="n"/>
      <c r="K64" s="33" t="n"/>
      <c r="L64" s="33" t="n"/>
      <c r="M64" s="33" t="n"/>
      <c r="N64" s="1" t="n"/>
      <c r="O64" s="1" t="n"/>
    </row>
    <row r="65" ht="18" customHeight="1">
      <c r="A65" s="1" t="n"/>
      <c r="B65" s="39" t="n"/>
      <c r="C65" s="39" t="n"/>
      <c r="D65" s="39" t="n"/>
      <c r="E65" s="39" t="n"/>
      <c r="F65" s="39" t="n"/>
      <c r="G65" s="40" t="n"/>
      <c r="H65" s="40" t="n"/>
      <c r="I65" s="41">
        <f>IF(G65&lt;&gt;"",G65-H65,"")</f>
        <v/>
      </c>
      <c r="J65" s="39" t="n"/>
      <c r="K65" s="39" t="n"/>
      <c r="L65" s="39" t="n"/>
      <c r="M65" s="39" t="n"/>
      <c r="N65" s="1" t="n"/>
      <c r="O65" s="1" t="n"/>
    </row>
    <row r="66" ht="18" customHeight="1">
      <c r="A66" s="1" t="n"/>
      <c r="B66" s="33" t="n"/>
      <c r="C66" s="33" t="n"/>
      <c r="D66" s="33" t="n"/>
      <c r="E66" s="33" t="n"/>
      <c r="F66" s="33" t="n"/>
      <c r="G66" s="42" t="n"/>
      <c r="H66" s="42" t="n"/>
      <c r="I66" s="43">
        <f>IF(G66&lt;&gt;"",G66-H66,"")</f>
        <v/>
      </c>
      <c r="J66" s="33" t="n"/>
      <c r="K66" s="33" t="n"/>
      <c r="L66" s="33" t="n"/>
      <c r="M66" s="33" t="n"/>
      <c r="N66" s="1" t="n"/>
      <c r="O66" s="1" t="n"/>
    </row>
    <row r="67" ht="18" customHeight="1">
      <c r="A67" s="1" t="n"/>
      <c r="B67" s="39" t="n"/>
      <c r="C67" s="39" t="n"/>
      <c r="D67" s="39" t="n"/>
      <c r="E67" s="39" t="n"/>
      <c r="F67" s="39" t="n"/>
      <c r="G67" s="40" t="n"/>
      <c r="H67" s="40" t="n"/>
      <c r="I67" s="41">
        <f>IF(G67&lt;&gt;"",G67-H67,"")</f>
        <v/>
      </c>
      <c r="J67" s="39" t="n"/>
      <c r="K67" s="39" t="n"/>
      <c r="L67" s="39" t="n"/>
      <c r="M67" s="39" t="n"/>
      <c r="N67" s="1" t="n"/>
      <c r="O67" s="1" t="n"/>
    </row>
    <row r="68" ht="18" customHeight="1">
      <c r="A68" s="1" t="n"/>
      <c r="B68" s="33" t="n"/>
      <c r="C68" s="33" t="n"/>
      <c r="D68" s="33" t="n"/>
      <c r="E68" s="33" t="n"/>
      <c r="F68" s="33" t="n"/>
      <c r="G68" s="42" t="n"/>
      <c r="H68" s="42" t="n"/>
      <c r="I68" s="43">
        <f>IF(G68&lt;&gt;"",G68-H68,"")</f>
        <v/>
      </c>
      <c r="J68" s="33" t="n"/>
      <c r="K68" s="33" t="n"/>
      <c r="L68" s="33" t="n"/>
      <c r="M68" s="33" t="n"/>
      <c r="N68" s="1" t="n"/>
      <c r="O68" s="1" t="n"/>
    </row>
    <row r="69" ht="18" customHeight="1">
      <c r="A69" s="1" t="n"/>
      <c r="B69" s="39" t="n"/>
      <c r="C69" s="39" t="n"/>
      <c r="D69" s="39" t="n"/>
      <c r="E69" s="39" t="n"/>
      <c r="F69" s="39" t="n"/>
      <c r="G69" s="40" t="n"/>
      <c r="H69" s="40" t="n"/>
      <c r="I69" s="41">
        <f>IF(G69&lt;&gt;"",G69-H69,"")</f>
        <v/>
      </c>
      <c r="J69" s="39" t="n"/>
      <c r="K69" s="39" t="n"/>
      <c r="L69" s="39" t="n"/>
      <c r="M69" s="39" t="n"/>
      <c r="N69" s="1" t="n"/>
      <c r="O69" s="1" t="n"/>
    </row>
    <row r="70" ht="18" customHeight="1">
      <c r="A70" s="1" t="n"/>
      <c r="B70" s="33" t="n"/>
      <c r="C70" s="33" t="n"/>
      <c r="D70" s="33" t="n"/>
      <c r="E70" s="33" t="n"/>
      <c r="F70" s="33" t="n"/>
      <c r="G70" s="42" t="n"/>
      <c r="H70" s="42" t="n"/>
      <c r="I70" s="43">
        <f>IF(G70&lt;&gt;"",G70-H70,"")</f>
        <v/>
      </c>
      <c r="J70" s="33" t="n"/>
      <c r="K70" s="33" t="n"/>
      <c r="L70" s="33" t="n"/>
      <c r="M70" s="33" t="n"/>
      <c r="N70" s="1" t="n"/>
      <c r="O70" s="1" t="n"/>
    </row>
    <row r="71" ht="18" customHeight="1">
      <c r="A71" s="1" t="n"/>
      <c r="B71" s="39" t="n"/>
      <c r="C71" s="39" t="n"/>
      <c r="D71" s="39" t="n"/>
      <c r="E71" s="39" t="n"/>
      <c r="F71" s="39" t="n"/>
      <c r="G71" s="40" t="n"/>
      <c r="H71" s="40" t="n"/>
      <c r="I71" s="41">
        <f>IF(G71&lt;&gt;"",G71-H71,"")</f>
        <v/>
      </c>
      <c r="J71" s="39" t="n"/>
      <c r="K71" s="39" t="n"/>
      <c r="L71" s="39" t="n"/>
      <c r="M71" s="39" t="n"/>
      <c r="N71" s="1" t="n"/>
      <c r="O71" s="1" t="n"/>
    </row>
    <row r="72" ht="18" customHeight="1">
      <c r="A72" s="1" t="n"/>
      <c r="B72" s="33" t="n"/>
      <c r="C72" s="33" t="n"/>
      <c r="D72" s="33" t="n"/>
      <c r="E72" s="33" t="n"/>
      <c r="F72" s="33" t="n"/>
      <c r="G72" s="42" t="n"/>
      <c r="H72" s="42" t="n"/>
      <c r="I72" s="43">
        <f>IF(G72&lt;&gt;"",G72-H72,"")</f>
        <v/>
      </c>
      <c r="J72" s="33" t="n"/>
      <c r="K72" s="33" t="n"/>
      <c r="L72" s="33" t="n"/>
      <c r="M72" s="33" t="n"/>
      <c r="N72" s="1" t="n"/>
      <c r="O72" s="1" t="n"/>
    </row>
    <row r="73" ht="18" customHeight="1">
      <c r="A73" s="1" t="n"/>
      <c r="B73" s="39" t="n"/>
      <c r="C73" s="39" t="n"/>
      <c r="D73" s="39" t="n"/>
      <c r="E73" s="39" t="n"/>
      <c r="F73" s="39" t="n"/>
      <c r="G73" s="40" t="n"/>
      <c r="H73" s="40" t="n"/>
      <c r="I73" s="41">
        <f>IF(G73&lt;&gt;"",G73-H73,"")</f>
        <v/>
      </c>
      <c r="J73" s="39" t="n"/>
      <c r="K73" s="39" t="n"/>
      <c r="L73" s="39" t="n"/>
      <c r="M73" s="39" t="n"/>
      <c r="N73" s="1" t="n"/>
      <c r="O73" s="1" t="n"/>
    </row>
    <row r="74" ht="18" customHeight="1">
      <c r="A74" s="1" t="n"/>
      <c r="B74" s="33" t="n"/>
      <c r="C74" s="33" t="n"/>
      <c r="D74" s="33" t="n"/>
      <c r="E74" s="33" t="n"/>
      <c r="F74" s="33" t="n"/>
      <c r="G74" s="42" t="n"/>
      <c r="H74" s="42" t="n"/>
      <c r="I74" s="43">
        <f>IF(G74&lt;&gt;"",G74-H74,"")</f>
        <v/>
      </c>
      <c r="J74" s="33" t="n"/>
      <c r="K74" s="33" t="n"/>
      <c r="L74" s="33" t="n"/>
      <c r="M74" s="33" t="n"/>
      <c r="N74" s="1" t="n"/>
      <c r="O74" s="1" t="n"/>
    </row>
    <row r="75" ht="18" customHeight="1">
      <c r="A75" s="1" t="n"/>
      <c r="B75" s="39" t="n"/>
      <c r="C75" s="39" t="n"/>
      <c r="D75" s="39" t="n"/>
      <c r="E75" s="39" t="n"/>
      <c r="F75" s="39" t="n"/>
      <c r="G75" s="40" t="n"/>
      <c r="H75" s="40" t="n"/>
      <c r="I75" s="41">
        <f>IF(G75&lt;&gt;"",G75-H75,"")</f>
        <v/>
      </c>
      <c r="J75" s="39" t="n"/>
      <c r="K75" s="39" t="n"/>
      <c r="L75" s="39" t="n"/>
      <c r="M75" s="39" t="n"/>
      <c r="N75" s="1" t="n"/>
      <c r="O75" s="1" t="n"/>
    </row>
    <row r="76" ht="18" customHeight="1">
      <c r="A76" s="1" t="n"/>
      <c r="B76" s="33" t="n"/>
      <c r="C76" s="33" t="n"/>
      <c r="D76" s="33" t="n"/>
      <c r="E76" s="33" t="n"/>
      <c r="F76" s="33" t="n"/>
      <c r="G76" s="42" t="n"/>
      <c r="H76" s="42" t="n"/>
      <c r="I76" s="43">
        <f>IF(G76&lt;&gt;"",G76-H76,"")</f>
        <v/>
      </c>
      <c r="J76" s="33" t="n"/>
      <c r="K76" s="33" t="n"/>
      <c r="L76" s="33" t="n"/>
      <c r="M76" s="33" t="n"/>
      <c r="N76" s="1" t="n"/>
      <c r="O76" s="1" t="n"/>
    </row>
    <row r="77" ht="18" customHeight="1">
      <c r="A77" s="1" t="n"/>
      <c r="B77" s="39" t="n"/>
      <c r="C77" s="39" t="n"/>
      <c r="D77" s="39" t="n"/>
      <c r="E77" s="39" t="n"/>
      <c r="F77" s="39" t="n"/>
      <c r="G77" s="40" t="n"/>
      <c r="H77" s="40" t="n"/>
      <c r="I77" s="41">
        <f>IF(G77&lt;&gt;"",G77-H77,"")</f>
        <v/>
      </c>
      <c r="J77" s="39" t="n"/>
      <c r="K77" s="39" t="n"/>
      <c r="L77" s="39" t="n"/>
      <c r="M77" s="39" t="n"/>
      <c r="N77" s="1" t="n"/>
      <c r="O77" s="1" t="n"/>
    </row>
    <row r="78" ht="18" customHeight="1">
      <c r="A78" s="1" t="n"/>
      <c r="B78" s="33" t="n"/>
      <c r="C78" s="33" t="n"/>
      <c r="D78" s="33" t="n"/>
      <c r="E78" s="33" t="n"/>
      <c r="F78" s="33" t="n"/>
      <c r="G78" s="42" t="n"/>
      <c r="H78" s="42" t="n"/>
      <c r="I78" s="43">
        <f>IF(G78&lt;&gt;"",G78-H78,"")</f>
        <v/>
      </c>
      <c r="J78" s="33" t="n"/>
      <c r="K78" s="33" t="n"/>
      <c r="L78" s="33" t="n"/>
      <c r="M78" s="33" t="n"/>
      <c r="N78" s="1" t="n"/>
      <c r="O78" s="1" t="n"/>
    </row>
    <row r="79" ht="18" customHeight="1">
      <c r="A79" s="1" t="n"/>
      <c r="B79" s="39" t="n"/>
      <c r="C79" s="39" t="n"/>
      <c r="D79" s="39" t="n"/>
      <c r="E79" s="39" t="n"/>
      <c r="F79" s="39" t="n"/>
      <c r="G79" s="40" t="n"/>
      <c r="H79" s="40" t="n"/>
      <c r="I79" s="41">
        <f>IF(G79&lt;&gt;"",G79-H79,"")</f>
        <v/>
      </c>
      <c r="J79" s="39" t="n"/>
      <c r="K79" s="39" t="n"/>
      <c r="L79" s="39" t="n"/>
      <c r="M79" s="39" t="n"/>
      <c r="N79" s="1" t="n"/>
      <c r="O79" s="1" t="n"/>
    </row>
    <row r="80" ht="18" customHeight="1">
      <c r="A80" s="1" t="n"/>
      <c r="B80" s="33" t="n"/>
      <c r="C80" s="33" t="n"/>
      <c r="D80" s="33" t="n"/>
      <c r="E80" s="33" t="n"/>
      <c r="F80" s="33" t="n"/>
      <c r="G80" s="42" t="n"/>
      <c r="H80" s="42" t="n"/>
      <c r="I80" s="43">
        <f>IF(G80&lt;&gt;"",G80-H80,"")</f>
        <v/>
      </c>
      <c r="J80" s="33" t="n"/>
      <c r="K80" s="33" t="n"/>
      <c r="L80" s="33" t="n"/>
      <c r="M80" s="33" t="n"/>
      <c r="N80" s="1" t="n"/>
      <c r="O80" s="1" t="n"/>
    </row>
    <row r="81" ht="18" customHeight="1">
      <c r="A81" s="1" t="n"/>
      <c r="B81" s="39" t="n"/>
      <c r="C81" s="39" t="n"/>
      <c r="D81" s="39" t="n"/>
      <c r="E81" s="39" t="n"/>
      <c r="F81" s="39" t="n"/>
      <c r="G81" s="40" t="n"/>
      <c r="H81" s="40" t="n"/>
      <c r="I81" s="41">
        <f>IF(G81&lt;&gt;"",G81-H81,"")</f>
        <v/>
      </c>
      <c r="J81" s="39" t="n"/>
      <c r="K81" s="39" t="n"/>
      <c r="L81" s="39" t="n"/>
      <c r="M81" s="39" t="n"/>
      <c r="N81" s="1" t="n"/>
      <c r="O81" s="1" t="n"/>
    </row>
    <row r="82" ht="18" customHeight="1">
      <c r="A82" s="1" t="n"/>
      <c r="B82" s="33" t="n"/>
      <c r="C82" s="33" t="n"/>
      <c r="D82" s="33" t="n"/>
      <c r="E82" s="33" t="n"/>
      <c r="F82" s="33" t="n"/>
      <c r="G82" s="42" t="n"/>
      <c r="H82" s="42" t="n"/>
      <c r="I82" s="43">
        <f>IF(G82&lt;&gt;"",G82-H82,"")</f>
        <v/>
      </c>
      <c r="J82" s="33" t="n"/>
      <c r="K82" s="33" t="n"/>
      <c r="L82" s="33" t="n"/>
      <c r="M82" s="33" t="n"/>
      <c r="N82" s="1" t="n"/>
      <c r="O82" s="1" t="n"/>
    </row>
    <row r="83" ht="18" customHeight="1">
      <c r="A83" s="1" t="n"/>
      <c r="B83" s="39" t="n"/>
      <c r="C83" s="39" t="n"/>
      <c r="D83" s="39" t="n"/>
      <c r="E83" s="39" t="n"/>
      <c r="F83" s="39" t="n"/>
      <c r="G83" s="40" t="n"/>
      <c r="H83" s="40" t="n"/>
      <c r="I83" s="41">
        <f>IF(G83&lt;&gt;"",G83-H83,"")</f>
        <v/>
      </c>
      <c r="J83" s="39" t="n"/>
      <c r="K83" s="39" t="n"/>
      <c r="L83" s="39" t="n"/>
      <c r="M83" s="39" t="n"/>
      <c r="N83" s="1" t="n"/>
      <c r="O83" s="1" t="n"/>
    </row>
    <row r="84" ht="18" customHeight="1">
      <c r="A84" s="1" t="n"/>
      <c r="B84" s="33" t="n"/>
      <c r="C84" s="33" t="n"/>
      <c r="D84" s="33" t="n"/>
      <c r="E84" s="33" t="n"/>
      <c r="F84" s="33" t="n"/>
      <c r="G84" s="42" t="n"/>
      <c r="H84" s="42" t="n"/>
      <c r="I84" s="43">
        <f>IF(G84&lt;&gt;"",G84-H84,"")</f>
        <v/>
      </c>
      <c r="J84" s="33" t="n"/>
      <c r="K84" s="33" t="n"/>
      <c r="L84" s="33" t="n"/>
      <c r="M84" s="33" t="n"/>
      <c r="N84" s="1" t="n"/>
      <c r="O84" s="1" t="n"/>
    </row>
    <row r="85" ht="18" customHeight="1">
      <c r="A85" s="1" t="n"/>
      <c r="B85" s="39" t="n"/>
      <c r="C85" s="39" t="n"/>
      <c r="D85" s="39" t="n"/>
      <c r="E85" s="39" t="n"/>
      <c r="F85" s="39" t="n"/>
      <c r="G85" s="40" t="n"/>
      <c r="H85" s="40" t="n"/>
      <c r="I85" s="41">
        <f>IF(G85&lt;&gt;"",G85-H85,"")</f>
        <v/>
      </c>
      <c r="J85" s="39" t="n"/>
      <c r="K85" s="39" t="n"/>
      <c r="L85" s="39" t="n"/>
      <c r="M85" s="39" t="n"/>
      <c r="N85" s="1" t="n"/>
      <c r="O85" s="1" t="n"/>
    </row>
    <row r="86" ht="18" customHeight="1">
      <c r="A86" s="1" t="n"/>
      <c r="B86" s="33" t="n"/>
      <c r="C86" s="33" t="n"/>
      <c r="D86" s="33" t="n"/>
      <c r="E86" s="33" t="n"/>
      <c r="F86" s="33" t="n"/>
      <c r="G86" s="42" t="n"/>
      <c r="H86" s="42" t="n"/>
      <c r="I86" s="43">
        <f>IF(G86&lt;&gt;"",G86-H86,"")</f>
        <v/>
      </c>
      <c r="J86" s="33" t="n"/>
      <c r="K86" s="33" t="n"/>
      <c r="L86" s="33" t="n"/>
      <c r="M86" s="33" t="n"/>
      <c r="N86" s="1" t="n"/>
      <c r="O86" s="1" t="n"/>
    </row>
    <row r="87" ht="18" customHeight="1">
      <c r="A87" s="1" t="n"/>
      <c r="B87" s="39" t="n"/>
      <c r="C87" s="39" t="n"/>
      <c r="D87" s="39" t="n"/>
      <c r="E87" s="39" t="n"/>
      <c r="F87" s="39" t="n"/>
      <c r="G87" s="40" t="n"/>
      <c r="H87" s="40" t="n"/>
      <c r="I87" s="41">
        <f>IF(G87&lt;&gt;"",G87-H87,"")</f>
        <v/>
      </c>
      <c r="J87" s="39" t="n"/>
      <c r="K87" s="39" t="n"/>
      <c r="L87" s="39" t="n"/>
      <c r="M87" s="39" t="n"/>
      <c r="N87" s="1" t="n"/>
      <c r="O87" s="1" t="n"/>
    </row>
    <row r="88" ht="18" customHeight="1">
      <c r="A88" s="1" t="n"/>
      <c r="B88" s="33" t="n"/>
      <c r="C88" s="33" t="n"/>
      <c r="D88" s="33" t="n"/>
      <c r="E88" s="33" t="n"/>
      <c r="F88" s="33" t="n"/>
      <c r="G88" s="42" t="n"/>
      <c r="H88" s="42" t="n"/>
      <c r="I88" s="43">
        <f>IF(G88&lt;&gt;"",G88-H88,"")</f>
        <v/>
      </c>
      <c r="J88" s="33" t="n"/>
      <c r="K88" s="33" t="n"/>
      <c r="L88" s="33" t="n"/>
      <c r="M88" s="33" t="n"/>
      <c r="N88" s="1" t="n"/>
      <c r="O88" s="1" t="n"/>
    </row>
    <row r="89" ht="18" customHeight="1">
      <c r="A89" s="1" t="n"/>
      <c r="B89" s="39" t="n"/>
      <c r="C89" s="39" t="n"/>
      <c r="D89" s="39" t="n"/>
      <c r="E89" s="39" t="n"/>
      <c r="F89" s="39" t="n"/>
      <c r="G89" s="40" t="n"/>
      <c r="H89" s="40" t="n"/>
      <c r="I89" s="41">
        <f>IF(G89&lt;&gt;"",G89-H89,"")</f>
        <v/>
      </c>
      <c r="J89" s="39" t="n"/>
      <c r="K89" s="39" t="n"/>
      <c r="L89" s="39" t="n"/>
      <c r="M89" s="39" t="n"/>
      <c r="N89" s="1" t="n"/>
      <c r="O89" s="1" t="n"/>
    </row>
    <row r="90" ht="18" customHeight="1">
      <c r="A90" s="1" t="n"/>
      <c r="B90" s="33" t="n"/>
      <c r="C90" s="33" t="n"/>
      <c r="D90" s="33" t="n"/>
      <c r="E90" s="33" t="n"/>
      <c r="F90" s="33" t="n"/>
      <c r="G90" s="42" t="n"/>
      <c r="H90" s="42" t="n"/>
      <c r="I90" s="43">
        <f>IF(G90&lt;&gt;"",G90-H90,"")</f>
        <v/>
      </c>
      <c r="J90" s="33" t="n"/>
      <c r="K90" s="33" t="n"/>
      <c r="L90" s="33" t="n"/>
      <c r="M90" s="33" t="n"/>
      <c r="N90" s="1" t="n"/>
      <c r="O90" s="1" t="n"/>
    </row>
    <row r="91" ht="18" customHeight="1">
      <c r="A91" s="1" t="n"/>
      <c r="B91" s="39" t="n"/>
      <c r="C91" s="39" t="n"/>
      <c r="D91" s="39" t="n"/>
      <c r="E91" s="39" t="n"/>
      <c r="F91" s="39" t="n"/>
      <c r="G91" s="40" t="n"/>
      <c r="H91" s="40" t="n"/>
      <c r="I91" s="41">
        <f>IF(G91&lt;&gt;"",G91-H91,"")</f>
        <v/>
      </c>
      <c r="J91" s="39" t="n"/>
      <c r="K91" s="39" t="n"/>
      <c r="L91" s="39" t="n"/>
      <c r="M91" s="39" t="n"/>
      <c r="N91" s="1" t="n"/>
      <c r="O91" s="1" t="n"/>
    </row>
    <row r="92" ht="18" customHeight="1">
      <c r="A92" s="1" t="n"/>
      <c r="B92" s="33" t="n"/>
      <c r="C92" s="33" t="n"/>
      <c r="D92" s="33" t="n"/>
      <c r="E92" s="33" t="n"/>
      <c r="F92" s="33" t="n"/>
      <c r="G92" s="42" t="n"/>
      <c r="H92" s="42" t="n"/>
      <c r="I92" s="43">
        <f>IF(G92&lt;&gt;"",G92-H92,"")</f>
        <v/>
      </c>
      <c r="J92" s="33" t="n"/>
      <c r="K92" s="33" t="n"/>
      <c r="L92" s="33" t="n"/>
      <c r="M92" s="33" t="n"/>
      <c r="N92" s="1" t="n"/>
      <c r="O92" s="1" t="n"/>
    </row>
    <row r="93" ht="18" customHeight="1">
      <c r="A93" s="1" t="n"/>
      <c r="B93" s="39" t="n"/>
      <c r="C93" s="39" t="n"/>
      <c r="D93" s="39" t="n"/>
      <c r="E93" s="39" t="n"/>
      <c r="F93" s="39" t="n"/>
      <c r="G93" s="40" t="n"/>
      <c r="H93" s="40" t="n"/>
      <c r="I93" s="41">
        <f>IF(G93&lt;&gt;"",G93-H93,"")</f>
        <v/>
      </c>
      <c r="J93" s="39" t="n"/>
      <c r="K93" s="39" t="n"/>
      <c r="L93" s="39" t="n"/>
      <c r="M93" s="39" t="n"/>
      <c r="N93" s="1" t="n"/>
      <c r="O93" s="1" t="n"/>
    </row>
    <row r="94" ht="18" customHeight="1">
      <c r="A94" s="1" t="n"/>
      <c r="B94" s="33" t="n"/>
      <c r="C94" s="33" t="n"/>
      <c r="D94" s="33" t="n"/>
      <c r="E94" s="33" t="n"/>
      <c r="F94" s="33" t="n"/>
      <c r="G94" s="42" t="n"/>
      <c r="H94" s="42" t="n"/>
      <c r="I94" s="43">
        <f>IF(G94&lt;&gt;"",G94-H94,"")</f>
        <v/>
      </c>
      <c r="J94" s="33" t="n"/>
      <c r="K94" s="33" t="n"/>
      <c r="L94" s="33" t="n"/>
      <c r="M94" s="33" t="n"/>
      <c r="N94" s="1" t="n"/>
      <c r="O94" s="1" t="n"/>
    </row>
    <row r="95" ht="18" customHeight="1">
      <c r="A95" s="1" t="n"/>
      <c r="B95" s="39" t="n"/>
      <c r="C95" s="39" t="n"/>
      <c r="D95" s="39" t="n"/>
      <c r="E95" s="39" t="n"/>
      <c r="F95" s="39" t="n"/>
      <c r="G95" s="40" t="n"/>
      <c r="H95" s="40" t="n"/>
      <c r="I95" s="41">
        <f>IF(G95&lt;&gt;"",G95-H95,"")</f>
        <v/>
      </c>
      <c r="J95" s="39" t="n"/>
      <c r="K95" s="39" t="n"/>
      <c r="L95" s="39" t="n"/>
      <c r="M95" s="39" t="n"/>
      <c r="N95" s="1" t="n"/>
      <c r="O95" s="1" t="n"/>
    </row>
    <row r="96" ht="18" customHeight="1">
      <c r="A96" s="1" t="n"/>
      <c r="B96" s="33" t="n"/>
      <c r="C96" s="33" t="n"/>
      <c r="D96" s="33" t="n"/>
      <c r="E96" s="33" t="n"/>
      <c r="F96" s="33" t="n"/>
      <c r="G96" s="42" t="n"/>
      <c r="H96" s="42" t="n"/>
      <c r="I96" s="43">
        <f>IF(G96&lt;&gt;"",G96-H96,"")</f>
        <v/>
      </c>
      <c r="J96" s="33" t="n"/>
      <c r="K96" s="33" t="n"/>
      <c r="L96" s="33" t="n"/>
      <c r="M96" s="33" t="n"/>
      <c r="N96" s="1" t="n"/>
      <c r="O96" s="1" t="n"/>
    </row>
    <row r="97" ht="18" customHeight="1">
      <c r="A97" s="1" t="n"/>
      <c r="B97" s="39" t="n"/>
      <c r="C97" s="39" t="n"/>
      <c r="D97" s="39" t="n"/>
      <c r="E97" s="39" t="n"/>
      <c r="F97" s="39" t="n"/>
      <c r="G97" s="40" t="n"/>
      <c r="H97" s="40" t="n"/>
      <c r="I97" s="41">
        <f>IF(G97&lt;&gt;"",G97-H97,"")</f>
        <v/>
      </c>
      <c r="J97" s="39" t="n"/>
      <c r="K97" s="39" t="n"/>
      <c r="L97" s="39" t="n"/>
      <c r="M97" s="39" t="n"/>
      <c r="N97" s="1" t="n"/>
      <c r="O97" s="1" t="n"/>
    </row>
    <row r="98" ht="18" customHeight="1">
      <c r="A98" s="1" t="n"/>
      <c r="B98" s="33" t="n"/>
      <c r="C98" s="33" t="n"/>
      <c r="D98" s="33" t="n"/>
      <c r="E98" s="33" t="n"/>
      <c r="F98" s="33" t="n"/>
      <c r="G98" s="42" t="n"/>
      <c r="H98" s="42" t="n"/>
      <c r="I98" s="43">
        <f>IF(G98&lt;&gt;"",G98-H98,"")</f>
        <v/>
      </c>
      <c r="J98" s="33" t="n"/>
      <c r="K98" s="33" t="n"/>
      <c r="L98" s="33" t="n"/>
      <c r="M98" s="33" t="n"/>
      <c r="N98" s="1" t="n"/>
      <c r="O98" s="1" t="n"/>
    </row>
    <row r="99" ht="18" customHeight="1">
      <c r="A99" s="1" t="n"/>
      <c r="B99" s="39" t="n"/>
      <c r="C99" s="39" t="n"/>
      <c r="D99" s="39" t="n"/>
      <c r="E99" s="39" t="n"/>
      <c r="F99" s="39" t="n"/>
      <c r="G99" s="40" t="n"/>
      <c r="H99" s="40" t="n"/>
      <c r="I99" s="41">
        <f>IF(G99&lt;&gt;"",G99-H99,"")</f>
        <v/>
      </c>
      <c r="J99" s="39" t="n"/>
      <c r="K99" s="39" t="n"/>
      <c r="L99" s="39" t="n"/>
      <c r="M99" s="39" t="n"/>
      <c r="N99" s="1" t="n"/>
      <c r="O99" s="1" t="n"/>
    </row>
    <row r="100" ht="18" customHeight="1">
      <c r="A100" s="1" t="n"/>
      <c r="B100" s="33" t="n"/>
      <c r="C100" s="33" t="n"/>
      <c r="D100" s="33" t="n"/>
      <c r="E100" s="33" t="n"/>
      <c r="F100" s="33" t="n"/>
      <c r="G100" s="42" t="n"/>
      <c r="H100" s="42" t="n"/>
      <c r="I100" s="43">
        <f>IF(G100&lt;&gt;"",G100-H100,"")</f>
        <v/>
      </c>
      <c r="J100" s="33" t="n"/>
      <c r="K100" s="33" t="n"/>
      <c r="L100" s="33" t="n"/>
      <c r="M100" s="33" t="n"/>
      <c r="N100" s="1" t="n"/>
      <c r="O100" s="1" t="n"/>
    </row>
    <row r="101" ht="18" customHeight="1">
      <c r="A101" s="1" t="n"/>
      <c r="B101" s="39" t="n"/>
      <c r="C101" s="39" t="n"/>
      <c r="D101" s="39" t="n"/>
      <c r="E101" s="39" t="n"/>
      <c r="F101" s="39" t="n"/>
      <c r="G101" s="40" t="n"/>
      <c r="H101" s="40" t="n"/>
      <c r="I101" s="41">
        <f>IF(G101&lt;&gt;"",G101-H101,"")</f>
        <v/>
      </c>
      <c r="J101" s="39" t="n"/>
      <c r="K101" s="39" t="n"/>
      <c r="L101" s="39" t="n"/>
      <c r="M101" s="39" t="n"/>
      <c r="N101" s="1" t="n"/>
      <c r="O101" s="1" t="n"/>
    </row>
    <row r="102" ht="18" customHeight="1">
      <c r="A102" s="1" t="n"/>
      <c r="B102" s="33" t="n"/>
      <c r="C102" s="33" t="n"/>
      <c r="D102" s="33" t="n"/>
      <c r="E102" s="33" t="n"/>
      <c r="F102" s="33" t="n"/>
      <c r="G102" s="42" t="n"/>
      <c r="H102" s="42" t="n"/>
      <c r="I102" s="43">
        <f>IF(G102&lt;&gt;"",G102-H102,"")</f>
        <v/>
      </c>
      <c r="J102" s="33" t="n"/>
      <c r="K102" s="33" t="n"/>
      <c r="L102" s="33" t="n"/>
      <c r="M102" s="33" t="n"/>
      <c r="N102" s="1" t="n"/>
      <c r="O102" s="1" t="n"/>
    </row>
    <row r="103" ht="18" customHeight="1">
      <c r="A103" s="1" t="n"/>
      <c r="B103" s="39" t="n"/>
      <c r="C103" s="39" t="n"/>
      <c r="D103" s="39" t="n"/>
      <c r="E103" s="39" t="n"/>
      <c r="F103" s="39" t="n"/>
      <c r="G103" s="40" t="n"/>
      <c r="H103" s="40" t="n"/>
      <c r="I103" s="41">
        <f>IF(G103&lt;&gt;"",G103-H103,"")</f>
        <v/>
      </c>
      <c r="J103" s="39" t="n"/>
      <c r="K103" s="39" t="n"/>
      <c r="L103" s="39" t="n"/>
      <c r="M103" s="39" t="n"/>
      <c r="N103" s="1" t="n"/>
      <c r="O103" s="1" t="n"/>
    </row>
    <row r="104" ht="18" customHeight="1">
      <c r="A104" s="1" t="n"/>
      <c r="B104" s="33" t="n"/>
      <c r="C104" s="33" t="n"/>
      <c r="D104" s="33" t="n"/>
      <c r="E104" s="33" t="n"/>
      <c r="F104" s="33" t="n"/>
      <c r="G104" s="42" t="n"/>
      <c r="H104" s="42" t="n"/>
      <c r="I104" s="43">
        <f>IF(G104&lt;&gt;"",G104-H104,"")</f>
        <v/>
      </c>
      <c r="J104" s="33" t="n"/>
      <c r="K104" s="33" t="n"/>
      <c r="L104" s="33" t="n"/>
      <c r="M104" s="33" t="n"/>
      <c r="N104" s="1" t="n"/>
      <c r="O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</row>
    <row r="106" ht="24" customHeight="1">
      <c r="A106" s="1" t="n"/>
      <c r="B106" s="44" t="inlineStr">
        <is>
          <t>TOTAIS DO MÊS</t>
        </is>
      </c>
      <c r="G106" s="45">
        <f>SUM(G5:G105)</f>
        <v/>
      </c>
      <c r="H106" s="46">
        <f>SUM(H5:H105)</f>
        <v/>
      </c>
      <c r="I106" s="47">
        <f>SUM(I5:I105)</f>
        <v/>
      </c>
      <c r="J106" s="1" t="n"/>
      <c r="K106" s="1" t="n"/>
      <c r="L106" s="1" t="n"/>
      <c r="M106" s="1" t="n"/>
      <c r="N106" s="1" t="n"/>
      <c r="O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</row>
  </sheetData>
  <mergeCells count="2">
    <mergeCell ref="B106:F106"/>
    <mergeCell ref="B2:N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91E8C"/>
    <outlinePr summaryBelow="1" summaryRight="1"/>
    <pageSetUpPr/>
  </sheetPr>
  <dimension ref="A1:S19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4" customWidth="1" min="3" max="3"/>
    <col width="22" customWidth="1" min="4" max="4"/>
    <col width="12" customWidth="1" min="5" max="5"/>
    <col width="14" customWidth="1" min="6" max="6"/>
    <col width="8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22" customWidth="1" min="14" max="14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35" customHeight="1">
      <c r="A2" s="1" t="n"/>
      <c r="B2" s="37" t="inlineStr">
        <is>
          <t>👥  CRM DE CLIENTES — CENTRAL TATTOO</t>
        </is>
      </c>
      <c r="S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</row>
    <row r="4" ht="22" customHeight="1">
      <c r="A4" s="1" t="n"/>
      <c r="B4" s="38" t="inlineStr">
        <is>
          <t>NOME</t>
        </is>
      </c>
      <c r="C4" s="38" t="inlineStr">
        <is>
          <t>TELEFONE</t>
        </is>
      </c>
      <c r="D4" s="38" t="inlineStr">
        <is>
          <t>EMAIL</t>
        </is>
      </c>
      <c r="E4" s="38" t="inlineStr">
        <is>
          <t>DATA NASC.</t>
        </is>
      </c>
      <c r="F4" s="38" t="inlineStr">
        <is>
          <t>CIDADE</t>
        </is>
      </c>
      <c r="G4" s="38" t="inlineStr">
        <is>
          <t>TATTOOS FEITAS</t>
        </is>
      </c>
      <c r="H4" s="38" t="inlineStr">
        <is>
          <t>STATUS</t>
        </is>
      </c>
      <c r="I4" s="38" t="inlineStr">
        <is>
          <t>ÚLTIMO CONTATO</t>
        </is>
      </c>
      <c r="J4" s="38" t="inlineStr">
        <is>
          <t>PRÓX. RETORNO</t>
        </is>
      </c>
      <c r="K4" s="38" t="inlineStr">
        <is>
          <t>ESTILO PREF.</t>
        </is>
      </c>
      <c r="L4" s="38" t="inlineStr">
        <is>
          <t>INDICADO POR</t>
        </is>
      </c>
      <c r="M4" s="38" t="inlineStr">
        <is>
          <t>TOTAL GASTO (R$)</t>
        </is>
      </c>
      <c r="N4" s="38" t="inlineStr">
        <is>
          <t>OBS</t>
        </is>
      </c>
      <c r="O4" s="1" t="n"/>
      <c r="P4" s="1" t="n"/>
      <c r="Q4" s="1" t="n"/>
      <c r="R4" s="1" t="n"/>
      <c r="S4" s="1" t="n"/>
    </row>
    <row r="5" ht="18" customHeight="1">
      <c r="A5" s="1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40" t="n"/>
      <c r="N5" s="39" t="n"/>
      <c r="O5" s="1" t="n"/>
      <c r="P5" s="1" t="n"/>
      <c r="Q5" s="1" t="n"/>
      <c r="R5" s="1" t="n"/>
      <c r="S5" s="1" t="n"/>
    </row>
    <row r="6" ht="18" customHeight="1">
      <c r="A6" s="1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42" t="n"/>
      <c r="N6" s="33" t="n"/>
      <c r="O6" s="1" t="n"/>
      <c r="P6" s="1" t="n"/>
      <c r="Q6" s="1" t="n"/>
      <c r="R6" s="1" t="n"/>
      <c r="S6" s="1" t="n"/>
    </row>
    <row r="7" ht="18" customHeight="1">
      <c r="A7" s="1" t="n"/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40" t="n"/>
      <c r="N7" s="39" t="n"/>
      <c r="O7" s="1" t="n"/>
      <c r="P7" s="1" t="n"/>
      <c r="Q7" s="1" t="n"/>
      <c r="R7" s="1" t="n"/>
      <c r="S7" s="1" t="n"/>
    </row>
    <row r="8" ht="18" customHeight="1">
      <c r="A8" s="1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42" t="n"/>
      <c r="N8" s="33" t="n"/>
      <c r="O8" s="1" t="n"/>
      <c r="P8" s="1" t="n"/>
      <c r="Q8" s="1" t="n"/>
      <c r="R8" s="1" t="n"/>
      <c r="S8" s="1" t="n"/>
    </row>
    <row r="9" ht="18" customHeight="1">
      <c r="A9" s="1" t="n"/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40" t="n"/>
      <c r="N9" s="39" t="n"/>
      <c r="O9" s="1" t="n"/>
      <c r="P9" s="1" t="n"/>
      <c r="Q9" s="1" t="n"/>
      <c r="R9" s="1" t="n"/>
      <c r="S9" s="1" t="n"/>
    </row>
    <row r="10" ht="18" customHeight="1">
      <c r="A10" s="1" t="n"/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42" t="n"/>
      <c r="N10" s="33" t="n"/>
      <c r="O10" s="1" t="n"/>
      <c r="P10" s="1" t="n"/>
      <c r="Q10" s="1" t="n"/>
      <c r="R10" s="1" t="n"/>
      <c r="S10" s="1" t="n"/>
    </row>
    <row r="11" ht="18" customHeight="1">
      <c r="A11" s="1" t="n"/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40" t="n"/>
      <c r="N11" s="39" t="n"/>
      <c r="O11" s="1" t="n"/>
      <c r="P11" s="1" t="n"/>
      <c r="Q11" s="1" t="n"/>
      <c r="R11" s="1" t="n"/>
      <c r="S11" s="1" t="n"/>
    </row>
    <row r="12" ht="18" customHeight="1">
      <c r="A12" s="1" t="n"/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42" t="n"/>
      <c r="N12" s="33" t="n"/>
      <c r="O12" s="1" t="n"/>
      <c r="P12" s="1" t="n"/>
      <c r="Q12" s="1" t="n"/>
      <c r="R12" s="1" t="n"/>
      <c r="S12" s="1" t="n"/>
    </row>
    <row r="13" ht="18" customHeight="1">
      <c r="A13" s="1" t="n"/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40" t="n"/>
      <c r="N13" s="39" t="n"/>
      <c r="O13" s="1" t="n"/>
      <c r="P13" s="1" t="n"/>
      <c r="Q13" s="1" t="n"/>
      <c r="R13" s="1" t="n"/>
      <c r="S13" s="1" t="n"/>
    </row>
    <row r="14" ht="18" customHeight="1">
      <c r="A14" s="1" t="n"/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42" t="n"/>
      <c r="N14" s="33" t="n"/>
      <c r="O14" s="1" t="n"/>
      <c r="P14" s="1" t="n"/>
      <c r="Q14" s="1" t="n"/>
      <c r="R14" s="1" t="n"/>
      <c r="S14" s="1" t="n"/>
    </row>
    <row r="15" ht="18" customHeight="1">
      <c r="A15" s="1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40" t="n"/>
      <c r="N15" s="39" t="n"/>
      <c r="O15" s="1" t="n"/>
      <c r="P15" s="1" t="n"/>
      <c r="Q15" s="1" t="n"/>
      <c r="R15" s="1" t="n"/>
      <c r="S15" s="1" t="n"/>
    </row>
    <row r="16" ht="18" customHeight="1">
      <c r="A16" s="1" t="n"/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42" t="n"/>
      <c r="N16" s="33" t="n"/>
      <c r="O16" s="1" t="n"/>
      <c r="P16" s="1" t="n"/>
      <c r="Q16" s="1" t="n"/>
      <c r="R16" s="1" t="n"/>
      <c r="S16" s="1" t="n"/>
    </row>
    <row r="17" ht="18" customHeight="1">
      <c r="A17" s="1" t="n"/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40" t="n"/>
      <c r="N17" s="39" t="n"/>
      <c r="O17" s="1" t="n"/>
      <c r="P17" s="1" t="n"/>
      <c r="Q17" s="1" t="n"/>
      <c r="R17" s="1" t="n"/>
      <c r="S17" s="1" t="n"/>
    </row>
    <row r="18" ht="18" customHeight="1">
      <c r="A18" s="1" t="n"/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42" t="n"/>
      <c r="N18" s="33" t="n"/>
      <c r="O18" s="1" t="n"/>
      <c r="P18" s="1" t="n"/>
      <c r="Q18" s="1" t="n"/>
      <c r="R18" s="1" t="n"/>
      <c r="S18" s="1" t="n"/>
    </row>
    <row r="19" ht="18" customHeight="1">
      <c r="A19" s="1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40" t="n"/>
      <c r="N19" s="39" t="n"/>
      <c r="O19" s="1" t="n"/>
      <c r="P19" s="1" t="n"/>
      <c r="Q19" s="1" t="n"/>
      <c r="R19" s="1" t="n"/>
      <c r="S19" s="1" t="n"/>
    </row>
    <row r="20" ht="18" customHeight="1">
      <c r="A20" s="1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42" t="n"/>
      <c r="N20" s="33" t="n"/>
      <c r="O20" s="1" t="n"/>
      <c r="P20" s="1" t="n"/>
      <c r="Q20" s="1" t="n"/>
      <c r="R20" s="1" t="n"/>
      <c r="S20" s="1" t="n"/>
    </row>
    <row r="21" ht="18" customHeight="1">
      <c r="A21" s="1" t="n"/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40" t="n"/>
      <c r="N21" s="39" t="n"/>
      <c r="O21" s="1" t="n"/>
      <c r="P21" s="1" t="n"/>
      <c r="Q21" s="1" t="n"/>
      <c r="R21" s="1" t="n"/>
      <c r="S21" s="1" t="n"/>
    </row>
    <row r="22" ht="18" customHeight="1">
      <c r="A22" s="1" t="n"/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42" t="n"/>
      <c r="N22" s="33" t="n"/>
      <c r="O22" s="1" t="n"/>
      <c r="P22" s="1" t="n"/>
      <c r="Q22" s="1" t="n"/>
      <c r="R22" s="1" t="n"/>
      <c r="S22" s="1" t="n"/>
    </row>
    <row r="23" ht="18" customHeight="1">
      <c r="A23" s="1" t="n"/>
      <c r="B23" s="39" t="n"/>
      <c r="C23" s="39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40" t="n"/>
      <c r="N23" s="39" t="n"/>
      <c r="O23" s="1" t="n"/>
      <c r="P23" s="1" t="n"/>
      <c r="Q23" s="1" t="n"/>
      <c r="R23" s="1" t="n"/>
      <c r="S23" s="1" t="n"/>
    </row>
    <row r="24" ht="18" customHeight="1">
      <c r="A24" s="1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42" t="n"/>
      <c r="N24" s="33" t="n"/>
      <c r="O24" s="1" t="n"/>
      <c r="P24" s="1" t="n"/>
      <c r="Q24" s="1" t="n"/>
      <c r="R24" s="1" t="n"/>
      <c r="S24" s="1" t="n"/>
    </row>
    <row r="25" ht="18" customHeight="1">
      <c r="A25" s="1" t="n"/>
      <c r="B25" s="39" t="n"/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40" t="n"/>
      <c r="N25" s="39" t="n"/>
      <c r="O25" s="1" t="n"/>
      <c r="P25" s="1" t="n"/>
      <c r="Q25" s="1" t="n"/>
      <c r="R25" s="1" t="n"/>
      <c r="S25" s="1" t="n"/>
    </row>
    <row r="26" ht="18" customHeight="1">
      <c r="A26" s="1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42" t="n"/>
      <c r="N26" s="33" t="n"/>
      <c r="O26" s="1" t="n"/>
      <c r="P26" s="1" t="n"/>
      <c r="Q26" s="1" t="n"/>
      <c r="R26" s="1" t="n"/>
      <c r="S26" s="1" t="n"/>
    </row>
    <row r="27" ht="18" customHeight="1">
      <c r="A27" s="1" t="n"/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40" t="n"/>
      <c r="N27" s="39" t="n"/>
      <c r="O27" s="1" t="n"/>
      <c r="P27" s="1" t="n"/>
      <c r="Q27" s="1" t="n"/>
      <c r="R27" s="1" t="n"/>
      <c r="S27" s="1" t="n"/>
    </row>
    <row r="28" ht="18" customHeight="1">
      <c r="A28" s="1" t="n"/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42" t="n"/>
      <c r="N28" s="33" t="n"/>
      <c r="O28" s="1" t="n"/>
      <c r="P28" s="1" t="n"/>
      <c r="Q28" s="1" t="n"/>
      <c r="R28" s="1" t="n"/>
      <c r="S28" s="1" t="n"/>
    </row>
    <row r="29" ht="18" customHeight="1">
      <c r="A29" s="1" t="n"/>
      <c r="B29" s="39" t="n"/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40" t="n"/>
      <c r="N29" s="39" t="n"/>
      <c r="O29" s="1" t="n"/>
      <c r="P29" s="1" t="n"/>
      <c r="Q29" s="1" t="n"/>
      <c r="R29" s="1" t="n"/>
      <c r="S29" s="1" t="n"/>
    </row>
    <row r="30" ht="18" customHeight="1">
      <c r="A30" s="1" t="n"/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42" t="n"/>
      <c r="N30" s="33" t="n"/>
      <c r="O30" s="1" t="n"/>
      <c r="P30" s="1" t="n"/>
      <c r="Q30" s="1" t="n"/>
      <c r="R30" s="1" t="n"/>
      <c r="S30" s="1" t="n"/>
    </row>
    <row r="31" ht="18" customHeight="1">
      <c r="A31" s="1" t="n"/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40" t="n"/>
      <c r="N31" s="39" t="n"/>
      <c r="O31" s="1" t="n"/>
      <c r="P31" s="1" t="n"/>
      <c r="Q31" s="1" t="n"/>
      <c r="R31" s="1" t="n"/>
      <c r="S31" s="1" t="n"/>
    </row>
    <row r="32" ht="18" customHeight="1">
      <c r="A32" s="1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42" t="n"/>
      <c r="N32" s="33" t="n"/>
      <c r="O32" s="1" t="n"/>
      <c r="P32" s="1" t="n"/>
      <c r="Q32" s="1" t="n"/>
      <c r="R32" s="1" t="n"/>
      <c r="S32" s="1" t="n"/>
    </row>
    <row r="33" ht="18" customHeight="1">
      <c r="A33" s="1" t="n"/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40" t="n"/>
      <c r="N33" s="39" t="n"/>
      <c r="O33" s="1" t="n"/>
      <c r="P33" s="1" t="n"/>
      <c r="Q33" s="1" t="n"/>
      <c r="R33" s="1" t="n"/>
      <c r="S33" s="1" t="n"/>
    </row>
    <row r="34" ht="18" customHeight="1">
      <c r="A34" s="1" t="n"/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42" t="n"/>
      <c r="N34" s="33" t="n"/>
      <c r="O34" s="1" t="n"/>
      <c r="P34" s="1" t="n"/>
      <c r="Q34" s="1" t="n"/>
      <c r="R34" s="1" t="n"/>
      <c r="S34" s="1" t="n"/>
    </row>
    <row r="35" ht="18" customHeight="1">
      <c r="A35" s="1" t="n"/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40" t="n"/>
      <c r="N35" s="39" t="n"/>
      <c r="O35" s="1" t="n"/>
      <c r="P35" s="1" t="n"/>
      <c r="Q35" s="1" t="n"/>
      <c r="R35" s="1" t="n"/>
      <c r="S35" s="1" t="n"/>
    </row>
    <row r="36" ht="18" customHeight="1">
      <c r="A36" s="1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42" t="n"/>
      <c r="N36" s="33" t="n"/>
      <c r="O36" s="1" t="n"/>
      <c r="P36" s="1" t="n"/>
      <c r="Q36" s="1" t="n"/>
      <c r="R36" s="1" t="n"/>
      <c r="S36" s="1" t="n"/>
    </row>
    <row r="37" ht="18" customHeight="1">
      <c r="A37" s="1" t="n"/>
      <c r="B37" s="39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40" t="n"/>
      <c r="N37" s="39" t="n"/>
      <c r="O37" s="1" t="n"/>
      <c r="P37" s="1" t="n"/>
      <c r="Q37" s="1" t="n"/>
      <c r="R37" s="1" t="n"/>
      <c r="S37" s="1" t="n"/>
    </row>
    <row r="38" ht="18" customHeight="1">
      <c r="A38" s="1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42" t="n"/>
      <c r="N38" s="33" t="n"/>
      <c r="O38" s="1" t="n"/>
      <c r="P38" s="1" t="n"/>
      <c r="Q38" s="1" t="n"/>
      <c r="R38" s="1" t="n"/>
      <c r="S38" s="1" t="n"/>
    </row>
    <row r="39" ht="18" customHeight="1">
      <c r="A39" s="1" t="n"/>
      <c r="B39" s="39" t="n"/>
      <c r="C39" s="39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40" t="n"/>
      <c r="N39" s="39" t="n"/>
      <c r="O39" s="1" t="n"/>
      <c r="P39" s="1" t="n"/>
      <c r="Q39" s="1" t="n"/>
      <c r="R39" s="1" t="n"/>
      <c r="S39" s="1" t="n"/>
    </row>
    <row r="40" ht="18" customHeight="1">
      <c r="A40" s="1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42" t="n"/>
      <c r="N40" s="33" t="n"/>
      <c r="O40" s="1" t="n"/>
      <c r="P40" s="1" t="n"/>
      <c r="Q40" s="1" t="n"/>
      <c r="R40" s="1" t="n"/>
      <c r="S40" s="1" t="n"/>
    </row>
    <row r="41" ht="18" customHeight="1">
      <c r="A41" s="1" t="n"/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40" t="n"/>
      <c r="N41" s="39" t="n"/>
      <c r="O41" s="1" t="n"/>
      <c r="P41" s="1" t="n"/>
      <c r="Q41" s="1" t="n"/>
      <c r="R41" s="1" t="n"/>
      <c r="S41" s="1" t="n"/>
    </row>
    <row r="42" ht="18" customHeight="1">
      <c r="A42" s="1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42" t="n"/>
      <c r="N42" s="33" t="n"/>
      <c r="O42" s="1" t="n"/>
      <c r="P42" s="1" t="n"/>
      <c r="Q42" s="1" t="n"/>
      <c r="R42" s="1" t="n"/>
      <c r="S42" s="1" t="n"/>
    </row>
    <row r="43" ht="18" customHeight="1">
      <c r="A43" s="1" t="n"/>
      <c r="B43" s="39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40" t="n"/>
      <c r="N43" s="39" t="n"/>
      <c r="O43" s="1" t="n"/>
      <c r="P43" s="1" t="n"/>
      <c r="Q43" s="1" t="n"/>
      <c r="R43" s="1" t="n"/>
      <c r="S43" s="1" t="n"/>
    </row>
    <row r="44" ht="18" customHeight="1">
      <c r="A44" s="1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42" t="n"/>
      <c r="N44" s="33" t="n"/>
      <c r="O44" s="1" t="n"/>
      <c r="P44" s="1" t="n"/>
      <c r="Q44" s="1" t="n"/>
      <c r="R44" s="1" t="n"/>
      <c r="S44" s="1" t="n"/>
    </row>
    <row r="45" ht="18" customHeight="1">
      <c r="A45" s="1" t="n"/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40" t="n"/>
      <c r="N45" s="39" t="n"/>
      <c r="O45" s="1" t="n"/>
      <c r="P45" s="1" t="n"/>
      <c r="Q45" s="1" t="n"/>
      <c r="R45" s="1" t="n"/>
      <c r="S45" s="1" t="n"/>
    </row>
    <row r="46" ht="18" customHeight="1">
      <c r="A46" s="1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42" t="n"/>
      <c r="N46" s="33" t="n"/>
      <c r="O46" s="1" t="n"/>
      <c r="P46" s="1" t="n"/>
      <c r="Q46" s="1" t="n"/>
      <c r="R46" s="1" t="n"/>
      <c r="S46" s="1" t="n"/>
    </row>
    <row r="47" ht="18" customHeight="1">
      <c r="A47" s="1" t="n"/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40" t="n"/>
      <c r="N47" s="39" t="n"/>
      <c r="O47" s="1" t="n"/>
      <c r="P47" s="1" t="n"/>
      <c r="Q47" s="1" t="n"/>
      <c r="R47" s="1" t="n"/>
      <c r="S47" s="1" t="n"/>
    </row>
    <row r="48" ht="18" customHeight="1">
      <c r="A48" s="1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42" t="n"/>
      <c r="N48" s="33" t="n"/>
      <c r="O48" s="1" t="n"/>
      <c r="P48" s="1" t="n"/>
      <c r="Q48" s="1" t="n"/>
      <c r="R48" s="1" t="n"/>
      <c r="S48" s="1" t="n"/>
    </row>
    <row r="49" ht="18" customHeight="1">
      <c r="A49" s="1" t="n"/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40" t="n"/>
      <c r="N49" s="39" t="n"/>
      <c r="O49" s="1" t="n"/>
      <c r="P49" s="1" t="n"/>
      <c r="Q49" s="1" t="n"/>
      <c r="R49" s="1" t="n"/>
      <c r="S49" s="1" t="n"/>
    </row>
    <row r="50" ht="18" customHeight="1">
      <c r="A50" s="1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42" t="n"/>
      <c r="N50" s="33" t="n"/>
      <c r="O50" s="1" t="n"/>
      <c r="P50" s="1" t="n"/>
      <c r="Q50" s="1" t="n"/>
      <c r="R50" s="1" t="n"/>
      <c r="S50" s="1" t="n"/>
    </row>
    <row r="51" ht="18" customHeight="1">
      <c r="A51" s="1" t="n"/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40" t="n"/>
      <c r="N51" s="39" t="n"/>
      <c r="O51" s="1" t="n"/>
      <c r="P51" s="1" t="n"/>
      <c r="Q51" s="1" t="n"/>
      <c r="R51" s="1" t="n"/>
      <c r="S51" s="1" t="n"/>
    </row>
    <row r="52" ht="18" customHeight="1">
      <c r="A52" s="1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42" t="n"/>
      <c r="N52" s="33" t="n"/>
      <c r="O52" s="1" t="n"/>
      <c r="P52" s="1" t="n"/>
      <c r="Q52" s="1" t="n"/>
      <c r="R52" s="1" t="n"/>
      <c r="S52" s="1" t="n"/>
    </row>
    <row r="53" ht="18" customHeight="1">
      <c r="A53" s="1" t="n"/>
      <c r="B53" s="39" t="n"/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40" t="n"/>
      <c r="N53" s="39" t="n"/>
      <c r="O53" s="1" t="n"/>
      <c r="P53" s="1" t="n"/>
      <c r="Q53" s="1" t="n"/>
      <c r="R53" s="1" t="n"/>
      <c r="S53" s="1" t="n"/>
    </row>
    <row r="54" ht="18" customHeight="1">
      <c r="A54" s="1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42" t="n"/>
      <c r="N54" s="33" t="n"/>
      <c r="O54" s="1" t="n"/>
      <c r="P54" s="1" t="n"/>
      <c r="Q54" s="1" t="n"/>
      <c r="R54" s="1" t="n"/>
      <c r="S54" s="1" t="n"/>
    </row>
    <row r="55" ht="18" customHeight="1">
      <c r="A55" s="1" t="n"/>
      <c r="B55" s="39" t="n"/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40" t="n"/>
      <c r="N55" s="39" t="n"/>
      <c r="O55" s="1" t="n"/>
      <c r="P55" s="1" t="n"/>
      <c r="Q55" s="1" t="n"/>
      <c r="R55" s="1" t="n"/>
      <c r="S55" s="1" t="n"/>
    </row>
    <row r="56" ht="18" customHeight="1">
      <c r="A56" s="1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42" t="n"/>
      <c r="N56" s="33" t="n"/>
      <c r="O56" s="1" t="n"/>
      <c r="P56" s="1" t="n"/>
      <c r="Q56" s="1" t="n"/>
      <c r="R56" s="1" t="n"/>
      <c r="S56" s="1" t="n"/>
    </row>
    <row r="57" ht="18" customHeight="1">
      <c r="A57" s="1" t="n"/>
      <c r="B57" s="39" t="n"/>
      <c r="C57" s="39" t="n"/>
      <c r="D57" s="39" t="n"/>
      <c r="E57" s="39" t="n"/>
      <c r="F57" s="39" t="n"/>
      <c r="G57" s="39" t="n"/>
      <c r="H57" s="39" t="n"/>
      <c r="I57" s="39" t="n"/>
      <c r="J57" s="39" t="n"/>
      <c r="K57" s="39" t="n"/>
      <c r="L57" s="39" t="n"/>
      <c r="M57" s="40" t="n"/>
      <c r="N57" s="39" t="n"/>
      <c r="O57" s="1" t="n"/>
      <c r="P57" s="1" t="n"/>
      <c r="Q57" s="1" t="n"/>
      <c r="R57" s="1" t="n"/>
      <c r="S57" s="1" t="n"/>
    </row>
    <row r="58" ht="18" customHeight="1">
      <c r="A58" s="1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42" t="n"/>
      <c r="N58" s="33" t="n"/>
      <c r="O58" s="1" t="n"/>
      <c r="P58" s="1" t="n"/>
      <c r="Q58" s="1" t="n"/>
      <c r="R58" s="1" t="n"/>
      <c r="S58" s="1" t="n"/>
    </row>
    <row r="59" ht="18" customHeight="1">
      <c r="A59" s="1" t="n"/>
      <c r="B59" s="39" t="n"/>
      <c r="C59" s="39" t="n"/>
      <c r="D59" s="39" t="n"/>
      <c r="E59" s="39" t="n"/>
      <c r="F59" s="39" t="n"/>
      <c r="G59" s="39" t="n"/>
      <c r="H59" s="39" t="n"/>
      <c r="I59" s="39" t="n"/>
      <c r="J59" s="39" t="n"/>
      <c r="K59" s="39" t="n"/>
      <c r="L59" s="39" t="n"/>
      <c r="M59" s="40" t="n"/>
      <c r="N59" s="39" t="n"/>
      <c r="O59" s="1" t="n"/>
      <c r="P59" s="1" t="n"/>
      <c r="Q59" s="1" t="n"/>
      <c r="R59" s="1" t="n"/>
      <c r="S59" s="1" t="n"/>
    </row>
    <row r="60" ht="18" customHeight="1">
      <c r="A60" s="1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42" t="n"/>
      <c r="N60" s="33" t="n"/>
      <c r="O60" s="1" t="n"/>
      <c r="P60" s="1" t="n"/>
      <c r="Q60" s="1" t="n"/>
      <c r="R60" s="1" t="n"/>
      <c r="S60" s="1" t="n"/>
    </row>
    <row r="61" ht="18" customHeight="1">
      <c r="A61" s="1" t="n"/>
      <c r="B61" s="39" t="n"/>
      <c r="C61" s="39" t="n"/>
      <c r="D61" s="39" t="n"/>
      <c r="E61" s="39" t="n"/>
      <c r="F61" s="39" t="n"/>
      <c r="G61" s="39" t="n"/>
      <c r="H61" s="39" t="n"/>
      <c r="I61" s="39" t="n"/>
      <c r="J61" s="39" t="n"/>
      <c r="K61" s="39" t="n"/>
      <c r="L61" s="39" t="n"/>
      <c r="M61" s="40" t="n"/>
      <c r="N61" s="39" t="n"/>
      <c r="O61" s="1" t="n"/>
      <c r="P61" s="1" t="n"/>
      <c r="Q61" s="1" t="n"/>
      <c r="R61" s="1" t="n"/>
      <c r="S61" s="1" t="n"/>
    </row>
    <row r="62" ht="18" customHeight="1">
      <c r="A62" s="1" t="n"/>
      <c r="B62" s="33" t="n"/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42" t="n"/>
      <c r="N62" s="33" t="n"/>
      <c r="O62" s="1" t="n"/>
      <c r="P62" s="1" t="n"/>
      <c r="Q62" s="1" t="n"/>
      <c r="R62" s="1" t="n"/>
      <c r="S62" s="1" t="n"/>
    </row>
    <row r="63" ht="18" customHeight="1">
      <c r="A63" s="1" t="n"/>
      <c r="B63" s="39" t="n"/>
      <c r="C63" s="39" t="n"/>
      <c r="D63" s="39" t="n"/>
      <c r="E63" s="39" t="n"/>
      <c r="F63" s="39" t="n"/>
      <c r="G63" s="39" t="n"/>
      <c r="H63" s="39" t="n"/>
      <c r="I63" s="39" t="n"/>
      <c r="J63" s="39" t="n"/>
      <c r="K63" s="39" t="n"/>
      <c r="L63" s="39" t="n"/>
      <c r="M63" s="40" t="n"/>
      <c r="N63" s="39" t="n"/>
      <c r="O63" s="1" t="n"/>
      <c r="P63" s="1" t="n"/>
      <c r="Q63" s="1" t="n"/>
      <c r="R63" s="1" t="n"/>
      <c r="S63" s="1" t="n"/>
    </row>
    <row r="64" ht="18" customHeight="1">
      <c r="A64" s="1" t="n"/>
      <c r="B64" s="33" t="n"/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  <c r="M64" s="42" t="n"/>
      <c r="N64" s="33" t="n"/>
      <c r="O64" s="1" t="n"/>
      <c r="P64" s="1" t="n"/>
      <c r="Q64" s="1" t="n"/>
      <c r="R64" s="1" t="n"/>
      <c r="S64" s="1" t="n"/>
    </row>
    <row r="65" ht="18" customHeight="1">
      <c r="A65" s="1" t="n"/>
      <c r="B65" s="39" t="n"/>
      <c r="C65" s="39" t="n"/>
      <c r="D65" s="39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40" t="n"/>
      <c r="N65" s="39" t="n"/>
      <c r="O65" s="1" t="n"/>
      <c r="P65" s="1" t="n"/>
      <c r="Q65" s="1" t="n"/>
      <c r="R65" s="1" t="n"/>
      <c r="S65" s="1" t="n"/>
    </row>
    <row r="66" ht="18" customHeight="1">
      <c r="A66" s="1" t="n"/>
      <c r="B66" s="33" t="n"/>
      <c r="C66" s="33" t="n"/>
      <c r="D66" s="33" t="n"/>
      <c r="E66" s="33" t="n"/>
      <c r="F66" s="33" t="n"/>
      <c r="G66" s="33" t="n"/>
      <c r="H66" s="33" t="n"/>
      <c r="I66" s="33" t="n"/>
      <c r="J66" s="33" t="n"/>
      <c r="K66" s="33" t="n"/>
      <c r="L66" s="33" t="n"/>
      <c r="M66" s="42" t="n"/>
      <c r="N66" s="33" t="n"/>
      <c r="O66" s="1" t="n"/>
      <c r="P66" s="1" t="n"/>
      <c r="Q66" s="1" t="n"/>
      <c r="R66" s="1" t="n"/>
      <c r="S66" s="1" t="n"/>
    </row>
    <row r="67" ht="18" customHeight="1">
      <c r="A67" s="1" t="n"/>
      <c r="B67" s="39" t="n"/>
      <c r="C67" s="39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40" t="n"/>
      <c r="N67" s="39" t="n"/>
      <c r="O67" s="1" t="n"/>
      <c r="P67" s="1" t="n"/>
      <c r="Q67" s="1" t="n"/>
      <c r="R67" s="1" t="n"/>
      <c r="S67" s="1" t="n"/>
    </row>
    <row r="68" ht="18" customHeight="1">
      <c r="A68" s="1" t="n"/>
      <c r="B68" s="33" t="n"/>
      <c r="C68" s="33" t="n"/>
      <c r="D68" s="33" t="n"/>
      <c r="E68" s="33" t="n"/>
      <c r="F68" s="33" t="n"/>
      <c r="G68" s="33" t="n"/>
      <c r="H68" s="33" t="n"/>
      <c r="I68" s="33" t="n"/>
      <c r="J68" s="33" t="n"/>
      <c r="K68" s="33" t="n"/>
      <c r="L68" s="33" t="n"/>
      <c r="M68" s="42" t="n"/>
      <c r="N68" s="33" t="n"/>
      <c r="O68" s="1" t="n"/>
      <c r="P68" s="1" t="n"/>
      <c r="Q68" s="1" t="n"/>
      <c r="R68" s="1" t="n"/>
      <c r="S68" s="1" t="n"/>
    </row>
    <row r="69" ht="18" customHeight="1">
      <c r="A69" s="1" t="n"/>
      <c r="B69" s="39" t="n"/>
      <c r="C69" s="39" t="n"/>
      <c r="D69" s="39" t="n"/>
      <c r="E69" s="39" t="n"/>
      <c r="F69" s="39" t="n"/>
      <c r="G69" s="39" t="n"/>
      <c r="H69" s="39" t="n"/>
      <c r="I69" s="39" t="n"/>
      <c r="J69" s="39" t="n"/>
      <c r="K69" s="39" t="n"/>
      <c r="L69" s="39" t="n"/>
      <c r="M69" s="40" t="n"/>
      <c r="N69" s="39" t="n"/>
      <c r="O69" s="1" t="n"/>
      <c r="P69" s="1" t="n"/>
      <c r="Q69" s="1" t="n"/>
      <c r="R69" s="1" t="n"/>
      <c r="S69" s="1" t="n"/>
    </row>
    <row r="70" ht="18" customHeight="1">
      <c r="A70" s="1" t="n"/>
      <c r="B70" s="33" t="n"/>
      <c r="C70" s="33" t="n"/>
      <c r="D70" s="33" t="n"/>
      <c r="E70" s="33" t="n"/>
      <c r="F70" s="33" t="n"/>
      <c r="G70" s="33" t="n"/>
      <c r="H70" s="33" t="n"/>
      <c r="I70" s="33" t="n"/>
      <c r="J70" s="33" t="n"/>
      <c r="K70" s="33" t="n"/>
      <c r="L70" s="33" t="n"/>
      <c r="M70" s="42" t="n"/>
      <c r="N70" s="33" t="n"/>
      <c r="O70" s="1" t="n"/>
      <c r="P70" s="1" t="n"/>
      <c r="Q70" s="1" t="n"/>
      <c r="R70" s="1" t="n"/>
      <c r="S70" s="1" t="n"/>
    </row>
    <row r="71" ht="18" customHeight="1">
      <c r="A71" s="1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40" t="n"/>
      <c r="N71" s="39" t="n"/>
      <c r="O71" s="1" t="n"/>
      <c r="P71" s="1" t="n"/>
      <c r="Q71" s="1" t="n"/>
      <c r="R71" s="1" t="n"/>
      <c r="S71" s="1" t="n"/>
    </row>
    <row r="72" ht="18" customHeight="1">
      <c r="A72" s="1" t="n"/>
      <c r="B72" s="33" t="n"/>
      <c r="C72" s="33" t="n"/>
      <c r="D72" s="33" t="n"/>
      <c r="E72" s="33" t="n"/>
      <c r="F72" s="33" t="n"/>
      <c r="G72" s="33" t="n"/>
      <c r="H72" s="33" t="n"/>
      <c r="I72" s="33" t="n"/>
      <c r="J72" s="33" t="n"/>
      <c r="K72" s="33" t="n"/>
      <c r="L72" s="33" t="n"/>
      <c r="M72" s="42" t="n"/>
      <c r="N72" s="33" t="n"/>
      <c r="O72" s="1" t="n"/>
      <c r="P72" s="1" t="n"/>
      <c r="Q72" s="1" t="n"/>
      <c r="R72" s="1" t="n"/>
      <c r="S72" s="1" t="n"/>
    </row>
    <row r="73" ht="18" customHeight="1">
      <c r="A73" s="1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39" t="n"/>
      <c r="K73" s="39" t="n"/>
      <c r="L73" s="39" t="n"/>
      <c r="M73" s="40" t="n"/>
      <c r="N73" s="39" t="n"/>
      <c r="O73" s="1" t="n"/>
      <c r="P73" s="1" t="n"/>
      <c r="Q73" s="1" t="n"/>
      <c r="R73" s="1" t="n"/>
      <c r="S73" s="1" t="n"/>
    </row>
    <row r="74" ht="18" customHeight="1">
      <c r="A74" s="1" t="n"/>
      <c r="B74" s="33" t="n"/>
      <c r="C74" s="33" t="n"/>
      <c r="D74" s="33" t="n"/>
      <c r="E74" s="33" t="n"/>
      <c r="F74" s="33" t="n"/>
      <c r="G74" s="33" t="n"/>
      <c r="H74" s="33" t="n"/>
      <c r="I74" s="33" t="n"/>
      <c r="J74" s="33" t="n"/>
      <c r="K74" s="33" t="n"/>
      <c r="L74" s="33" t="n"/>
      <c r="M74" s="42" t="n"/>
      <c r="N74" s="33" t="n"/>
      <c r="O74" s="1" t="n"/>
      <c r="P74" s="1" t="n"/>
      <c r="Q74" s="1" t="n"/>
      <c r="R74" s="1" t="n"/>
      <c r="S74" s="1" t="n"/>
    </row>
    <row r="75" ht="18" customHeight="1">
      <c r="A75" s="1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40" t="n"/>
      <c r="N75" s="39" t="n"/>
      <c r="O75" s="1" t="n"/>
      <c r="P75" s="1" t="n"/>
      <c r="Q75" s="1" t="n"/>
      <c r="R75" s="1" t="n"/>
      <c r="S75" s="1" t="n"/>
    </row>
    <row r="76" ht="18" customHeight="1">
      <c r="A76" s="1" t="n"/>
      <c r="B76" s="33" t="n"/>
      <c r="C76" s="33" t="n"/>
      <c r="D76" s="33" t="n"/>
      <c r="E76" s="33" t="n"/>
      <c r="F76" s="33" t="n"/>
      <c r="G76" s="33" t="n"/>
      <c r="H76" s="33" t="n"/>
      <c r="I76" s="33" t="n"/>
      <c r="J76" s="33" t="n"/>
      <c r="K76" s="33" t="n"/>
      <c r="L76" s="33" t="n"/>
      <c r="M76" s="42" t="n"/>
      <c r="N76" s="33" t="n"/>
      <c r="O76" s="1" t="n"/>
      <c r="P76" s="1" t="n"/>
      <c r="Q76" s="1" t="n"/>
      <c r="R76" s="1" t="n"/>
      <c r="S76" s="1" t="n"/>
    </row>
    <row r="77" ht="18" customHeight="1">
      <c r="A77" s="1" t="n"/>
      <c r="B77" s="39" t="n"/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40" t="n"/>
      <c r="N77" s="39" t="n"/>
      <c r="O77" s="1" t="n"/>
      <c r="P77" s="1" t="n"/>
      <c r="Q77" s="1" t="n"/>
      <c r="R77" s="1" t="n"/>
      <c r="S77" s="1" t="n"/>
    </row>
    <row r="78" ht="18" customHeight="1">
      <c r="A78" s="1" t="n"/>
      <c r="B78" s="33" t="n"/>
      <c r="C78" s="33" t="n"/>
      <c r="D78" s="33" t="n"/>
      <c r="E78" s="33" t="n"/>
      <c r="F78" s="33" t="n"/>
      <c r="G78" s="33" t="n"/>
      <c r="H78" s="33" t="n"/>
      <c r="I78" s="33" t="n"/>
      <c r="J78" s="33" t="n"/>
      <c r="K78" s="33" t="n"/>
      <c r="L78" s="33" t="n"/>
      <c r="M78" s="42" t="n"/>
      <c r="N78" s="33" t="n"/>
      <c r="O78" s="1" t="n"/>
      <c r="P78" s="1" t="n"/>
      <c r="Q78" s="1" t="n"/>
      <c r="R78" s="1" t="n"/>
      <c r="S78" s="1" t="n"/>
    </row>
    <row r="79" ht="18" customHeight="1">
      <c r="A79" s="1" t="n"/>
      <c r="B79" s="39" t="n"/>
      <c r="C79" s="39" t="n"/>
      <c r="D79" s="39" t="n"/>
      <c r="E79" s="39" t="n"/>
      <c r="F79" s="39" t="n"/>
      <c r="G79" s="39" t="n"/>
      <c r="H79" s="39" t="n"/>
      <c r="I79" s="39" t="n"/>
      <c r="J79" s="39" t="n"/>
      <c r="K79" s="39" t="n"/>
      <c r="L79" s="39" t="n"/>
      <c r="M79" s="40" t="n"/>
      <c r="N79" s="39" t="n"/>
      <c r="O79" s="1" t="n"/>
      <c r="P79" s="1" t="n"/>
      <c r="Q79" s="1" t="n"/>
      <c r="R79" s="1" t="n"/>
      <c r="S79" s="1" t="n"/>
    </row>
    <row r="80" ht="18" customHeight="1">
      <c r="A80" s="1" t="n"/>
      <c r="B80" s="33" t="n"/>
      <c r="C80" s="33" t="n"/>
      <c r="D80" s="33" t="n"/>
      <c r="E80" s="33" t="n"/>
      <c r="F80" s="33" t="n"/>
      <c r="G80" s="33" t="n"/>
      <c r="H80" s="33" t="n"/>
      <c r="I80" s="33" t="n"/>
      <c r="J80" s="33" t="n"/>
      <c r="K80" s="33" t="n"/>
      <c r="L80" s="33" t="n"/>
      <c r="M80" s="42" t="n"/>
      <c r="N80" s="33" t="n"/>
      <c r="O80" s="1" t="n"/>
      <c r="P80" s="1" t="n"/>
      <c r="Q80" s="1" t="n"/>
      <c r="R80" s="1" t="n"/>
      <c r="S80" s="1" t="n"/>
    </row>
    <row r="81" ht="18" customHeight="1">
      <c r="A81" s="1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40" t="n"/>
      <c r="N81" s="39" t="n"/>
      <c r="O81" s="1" t="n"/>
      <c r="P81" s="1" t="n"/>
      <c r="Q81" s="1" t="n"/>
      <c r="R81" s="1" t="n"/>
      <c r="S81" s="1" t="n"/>
    </row>
    <row r="82" ht="18" customHeight="1">
      <c r="A82" s="1" t="n"/>
      <c r="B82" s="33" t="n"/>
      <c r="C82" s="33" t="n"/>
      <c r="D82" s="33" t="n"/>
      <c r="E82" s="33" t="n"/>
      <c r="F82" s="33" t="n"/>
      <c r="G82" s="33" t="n"/>
      <c r="H82" s="33" t="n"/>
      <c r="I82" s="33" t="n"/>
      <c r="J82" s="33" t="n"/>
      <c r="K82" s="33" t="n"/>
      <c r="L82" s="33" t="n"/>
      <c r="M82" s="42" t="n"/>
      <c r="N82" s="33" t="n"/>
      <c r="O82" s="1" t="n"/>
      <c r="P82" s="1" t="n"/>
      <c r="Q82" s="1" t="n"/>
      <c r="R82" s="1" t="n"/>
      <c r="S82" s="1" t="n"/>
    </row>
    <row r="83" ht="18" customHeight="1">
      <c r="A83" s="1" t="n"/>
      <c r="B83" s="39" t="n"/>
      <c r="C83" s="39" t="n"/>
      <c r="D83" s="39" t="n"/>
      <c r="E83" s="39" t="n"/>
      <c r="F83" s="39" t="n"/>
      <c r="G83" s="39" t="n"/>
      <c r="H83" s="39" t="n"/>
      <c r="I83" s="39" t="n"/>
      <c r="J83" s="39" t="n"/>
      <c r="K83" s="39" t="n"/>
      <c r="L83" s="39" t="n"/>
      <c r="M83" s="40" t="n"/>
      <c r="N83" s="39" t="n"/>
      <c r="O83" s="1" t="n"/>
      <c r="P83" s="1" t="n"/>
      <c r="Q83" s="1" t="n"/>
      <c r="R83" s="1" t="n"/>
      <c r="S83" s="1" t="n"/>
    </row>
    <row r="84" ht="18" customHeight="1">
      <c r="A84" s="1" t="n"/>
      <c r="B84" s="33" t="n"/>
      <c r="C84" s="33" t="n"/>
      <c r="D84" s="33" t="n"/>
      <c r="E84" s="33" t="n"/>
      <c r="F84" s="33" t="n"/>
      <c r="G84" s="33" t="n"/>
      <c r="H84" s="33" t="n"/>
      <c r="I84" s="33" t="n"/>
      <c r="J84" s="33" t="n"/>
      <c r="K84" s="33" t="n"/>
      <c r="L84" s="33" t="n"/>
      <c r="M84" s="42" t="n"/>
      <c r="N84" s="33" t="n"/>
      <c r="O84" s="1" t="n"/>
      <c r="P84" s="1" t="n"/>
      <c r="Q84" s="1" t="n"/>
      <c r="R84" s="1" t="n"/>
      <c r="S84" s="1" t="n"/>
    </row>
    <row r="85" ht="18" customHeight="1">
      <c r="A85" s="1" t="n"/>
      <c r="B85" s="39" t="n"/>
      <c r="C85" s="39" t="n"/>
      <c r="D85" s="39" t="n"/>
      <c r="E85" s="39" t="n"/>
      <c r="F85" s="39" t="n"/>
      <c r="G85" s="39" t="n"/>
      <c r="H85" s="39" t="n"/>
      <c r="I85" s="39" t="n"/>
      <c r="J85" s="39" t="n"/>
      <c r="K85" s="39" t="n"/>
      <c r="L85" s="39" t="n"/>
      <c r="M85" s="40" t="n"/>
      <c r="N85" s="39" t="n"/>
      <c r="O85" s="1" t="n"/>
      <c r="P85" s="1" t="n"/>
      <c r="Q85" s="1" t="n"/>
      <c r="R85" s="1" t="n"/>
      <c r="S85" s="1" t="n"/>
    </row>
    <row r="86" ht="18" customHeight="1">
      <c r="A86" s="1" t="n"/>
      <c r="B86" s="33" t="n"/>
      <c r="C86" s="33" t="n"/>
      <c r="D86" s="33" t="n"/>
      <c r="E86" s="33" t="n"/>
      <c r="F86" s="33" t="n"/>
      <c r="G86" s="33" t="n"/>
      <c r="H86" s="33" t="n"/>
      <c r="I86" s="33" t="n"/>
      <c r="J86" s="33" t="n"/>
      <c r="K86" s="33" t="n"/>
      <c r="L86" s="33" t="n"/>
      <c r="M86" s="42" t="n"/>
      <c r="N86" s="33" t="n"/>
      <c r="O86" s="1" t="n"/>
      <c r="P86" s="1" t="n"/>
      <c r="Q86" s="1" t="n"/>
      <c r="R86" s="1" t="n"/>
      <c r="S86" s="1" t="n"/>
    </row>
    <row r="87" ht="18" customHeight="1">
      <c r="A87" s="1" t="n"/>
      <c r="B87" s="39" t="n"/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40" t="n"/>
      <c r="N87" s="39" t="n"/>
      <c r="O87" s="1" t="n"/>
      <c r="P87" s="1" t="n"/>
      <c r="Q87" s="1" t="n"/>
      <c r="R87" s="1" t="n"/>
      <c r="S87" s="1" t="n"/>
    </row>
    <row r="88" ht="18" customHeight="1">
      <c r="A88" s="1" t="n"/>
      <c r="B88" s="33" t="n"/>
      <c r="C88" s="33" t="n"/>
      <c r="D88" s="33" t="n"/>
      <c r="E88" s="33" t="n"/>
      <c r="F88" s="33" t="n"/>
      <c r="G88" s="33" t="n"/>
      <c r="H88" s="33" t="n"/>
      <c r="I88" s="33" t="n"/>
      <c r="J88" s="33" t="n"/>
      <c r="K88" s="33" t="n"/>
      <c r="L88" s="33" t="n"/>
      <c r="M88" s="42" t="n"/>
      <c r="N88" s="33" t="n"/>
      <c r="O88" s="1" t="n"/>
      <c r="P88" s="1" t="n"/>
      <c r="Q88" s="1" t="n"/>
      <c r="R88" s="1" t="n"/>
      <c r="S88" s="1" t="n"/>
    </row>
    <row r="89" ht="18" customHeight="1">
      <c r="A89" s="1" t="n"/>
      <c r="B89" s="39" t="n"/>
      <c r="C89" s="39" t="n"/>
      <c r="D89" s="39" t="n"/>
      <c r="E89" s="39" t="n"/>
      <c r="F89" s="39" t="n"/>
      <c r="G89" s="39" t="n"/>
      <c r="H89" s="39" t="n"/>
      <c r="I89" s="39" t="n"/>
      <c r="J89" s="39" t="n"/>
      <c r="K89" s="39" t="n"/>
      <c r="L89" s="39" t="n"/>
      <c r="M89" s="40" t="n"/>
      <c r="N89" s="39" t="n"/>
      <c r="O89" s="1" t="n"/>
      <c r="P89" s="1" t="n"/>
      <c r="Q89" s="1" t="n"/>
      <c r="R89" s="1" t="n"/>
      <c r="S89" s="1" t="n"/>
    </row>
    <row r="90" ht="18" customHeight="1">
      <c r="A90" s="1" t="n"/>
      <c r="B90" s="33" t="n"/>
      <c r="C90" s="33" t="n"/>
      <c r="D90" s="33" t="n"/>
      <c r="E90" s="33" t="n"/>
      <c r="F90" s="33" t="n"/>
      <c r="G90" s="33" t="n"/>
      <c r="H90" s="33" t="n"/>
      <c r="I90" s="33" t="n"/>
      <c r="J90" s="33" t="n"/>
      <c r="K90" s="33" t="n"/>
      <c r="L90" s="33" t="n"/>
      <c r="M90" s="42" t="n"/>
      <c r="N90" s="33" t="n"/>
      <c r="O90" s="1" t="n"/>
      <c r="P90" s="1" t="n"/>
      <c r="Q90" s="1" t="n"/>
      <c r="R90" s="1" t="n"/>
      <c r="S90" s="1" t="n"/>
    </row>
    <row r="91" ht="18" customHeight="1">
      <c r="A91" s="1" t="n"/>
      <c r="B91" s="39" t="n"/>
      <c r="C91" s="39" t="n"/>
      <c r="D91" s="39" t="n"/>
      <c r="E91" s="39" t="n"/>
      <c r="F91" s="39" t="n"/>
      <c r="G91" s="39" t="n"/>
      <c r="H91" s="39" t="n"/>
      <c r="I91" s="39" t="n"/>
      <c r="J91" s="39" t="n"/>
      <c r="K91" s="39" t="n"/>
      <c r="L91" s="39" t="n"/>
      <c r="M91" s="40" t="n"/>
      <c r="N91" s="39" t="n"/>
      <c r="O91" s="1" t="n"/>
      <c r="P91" s="1" t="n"/>
      <c r="Q91" s="1" t="n"/>
      <c r="R91" s="1" t="n"/>
      <c r="S91" s="1" t="n"/>
    </row>
    <row r="92" ht="18" customHeight="1">
      <c r="A92" s="1" t="n"/>
      <c r="B92" s="33" t="n"/>
      <c r="C92" s="33" t="n"/>
      <c r="D92" s="33" t="n"/>
      <c r="E92" s="33" t="n"/>
      <c r="F92" s="33" t="n"/>
      <c r="G92" s="33" t="n"/>
      <c r="H92" s="33" t="n"/>
      <c r="I92" s="33" t="n"/>
      <c r="J92" s="33" t="n"/>
      <c r="K92" s="33" t="n"/>
      <c r="L92" s="33" t="n"/>
      <c r="M92" s="42" t="n"/>
      <c r="N92" s="33" t="n"/>
      <c r="O92" s="1" t="n"/>
      <c r="P92" s="1" t="n"/>
      <c r="Q92" s="1" t="n"/>
      <c r="R92" s="1" t="n"/>
      <c r="S92" s="1" t="n"/>
    </row>
    <row r="93" ht="18" customHeight="1">
      <c r="A93" s="1" t="n"/>
      <c r="B93" s="39" t="n"/>
      <c r="C93" s="39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40" t="n"/>
      <c r="N93" s="39" t="n"/>
      <c r="O93" s="1" t="n"/>
      <c r="P93" s="1" t="n"/>
      <c r="Q93" s="1" t="n"/>
      <c r="R93" s="1" t="n"/>
      <c r="S93" s="1" t="n"/>
    </row>
    <row r="94" ht="18" customHeight="1">
      <c r="A94" s="1" t="n"/>
      <c r="B94" s="33" t="n"/>
      <c r="C94" s="33" t="n"/>
      <c r="D94" s="33" t="n"/>
      <c r="E94" s="33" t="n"/>
      <c r="F94" s="33" t="n"/>
      <c r="G94" s="33" t="n"/>
      <c r="H94" s="33" t="n"/>
      <c r="I94" s="33" t="n"/>
      <c r="J94" s="33" t="n"/>
      <c r="K94" s="33" t="n"/>
      <c r="L94" s="33" t="n"/>
      <c r="M94" s="42" t="n"/>
      <c r="N94" s="33" t="n"/>
      <c r="O94" s="1" t="n"/>
      <c r="P94" s="1" t="n"/>
      <c r="Q94" s="1" t="n"/>
      <c r="R94" s="1" t="n"/>
      <c r="S94" s="1" t="n"/>
    </row>
    <row r="95" ht="18" customHeight="1">
      <c r="A95" s="1" t="n"/>
      <c r="B95" s="39" t="n"/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40" t="n"/>
      <c r="N95" s="39" t="n"/>
      <c r="O95" s="1" t="n"/>
      <c r="P95" s="1" t="n"/>
      <c r="Q95" s="1" t="n"/>
      <c r="R95" s="1" t="n"/>
      <c r="S95" s="1" t="n"/>
    </row>
    <row r="96" ht="18" customHeight="1">
      <c r="A96" s="1" t="n"/>
      <c r="B96" s="33" t="n"/>
      <c r="C96" s="33" t="n"/>
      <c r="D96" s="33" t="n"/>
      <c r="E96" s="33" t="n"/>
      <c r="F96" s="33" t="n"/>
      <c r="G96" s="33" t="n"/>
      <c r="H96" s="33" t="n"/>
      <c r="I96" s="33" t="n"/>
      <c r="J96" s="33" t="n"/>
      <c r="K96" s="33" t="n"/>
      <c r="L96" s="33" t="n"/>
      <c r="M96" s="42" t="n"/>
      <c r="N96" s="33" t="n"/>
      <c r="O96" s="1" t="n"/>
      <c r="P96" s="1" t="n"/>
      <c r="Q96" s="1" t="n"/>
      <c r="R96" s="1" t="n"/>
      <c r="S96" s="1" t="n"/>
    </row>
    <row r="97" ht="18" customHeight="1">
      <c r="A97" s="1" t="n"/>
      <c r="B97" s="39" t="n"/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40" t="n"/>
      <c r="N97" s="39" t="n"/>
      <c r="O97" s="1" t="n"/>
      <c r="P97" s="1" t="n"/>
      <c r="Q97" s="1" t="n"/>
      <c r="R97" s="1" t="n"/>
      <c r="S97" s="1" t="n"/>
    </row>
    <row r="98" ht="18" customHeight="1">
      <c r="A98" s="1" t="n"/>
      <c r="B98" s="33" t="n"/>
      <c r="C98" s="33" t="n"/>
      <c r="D98" s="33" t="n"/>
      <c r="E98" s="33" t="n"/>
      <c r="F98" s="33" t="n"/>
      <c r="G98" s="33" t="n"/>
      <c r="H98" s="33" t="n"/>
      <c r="I98" s="33" t="n"/>
      <c r="J98" s="33" t="n"/>
      <c r="K98" s="33" t="n"/>
      <c r="L98" s="33" t="n"/>
      <c r="M98" s="42" t="n"/>
      <c r="N98" s="33" t="n"/>
      <c r="O98" s="1" t="n"/>
      <c r="P98" s="1" t="n"/>
      <c r="Q98" s="1" t="n"/>
      <c r="R98" s="1" t="n"/>
      <c r="S98" s="1" t="n"/>
    </row>
    <row r="99" ht="18" customHeight="1">
      <c r="A99" s="1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40" t="n"/>
      <c r="N99" s="39" t="n"/>
      <c r="O99" s="1" t="n"/>
      <c r="P99" s="1" t="n"/>
      <c r="Q99" s="1" t="n"/>
      <c r="R99" s="1" t="n"/>
      <c r="S99" s="1" t="n"/>
    </row>
    <row r="100" ht="18" customHeight="1">
      <c r="A100" s="1" t="n"/>
      <c r="B100" s="33" t="n"/>
      <c r="C100" s="33" t="n"/>
      <c r="D100" s="33" t="n"/>
      <c r="E100" s="33" t="n"/>
      <c r="F100" s="33" t="n"/>
      <c r="G100" s="33" t="n"/>
      <c r="H100" s="33" t="n"/>
      <c r="I100" s="33" t="n"/>
      <c r="J100" s="33" t="n"/>
      <c r="K100" s="33" t="n"/>
      <c r="L100" s="33" t="n"/>
      <c r="M100" s="42" t="n"/>
      <c r="N100" s="33" t="n"/>
      <c r="O100" s="1" t="n"/>
      <c r="P100" s="1" t="n"/>
      <c r="Q100" s="1" t="n"/>
      <c r="R100" s="1" t="n"/>
      <c r="S100" s="1" t="n"/>
    </row>
    <row r="101" ht="18" customHeight="1">
      <c r="A101" s="1" t="n"/>
      <c r="B101" s="39" t="n"/>
      <c r="C101" s="39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40" t="n"/>
      <c r="N101" s="39" t="n"/>
      <c r="O101" s="1" t="n"/>
      <c r="P101" s="1" t="n"/>
      <c r="Q101" s="1" t="n"/>
      <c r="R101" s="1" t="n"/>
      <c r="S101" s="1" t="n"/>
    </row>
    <row r="102" ht="18" customHeight="1">
      <c r="A102" s="1" t="n"/>
      <c r="B102" s="33" t="n"/>
      <c r="C102" s="33" t="n"/>
      <c r="D102" s="33" t="n"/>
      <c r="E102" s="33" t="n"/>
      <c r="F102" s="33" t="n"/>
      <c r="G102" s="33" t="n"/>
      <c r="H102" s="33" t="n"/>
      <c r="I102" s="33" t="n"/>
      <c r="J102" s="33" t="n"/>
      <c r="K102" s="33" t="n"/>
      <c r="L102" s="33" t="n"/>
      <c r="M102" s="42" t="n"/>
      <c r="N102" s="33" t="n"/>
      <c r="O102" s="1" t="n"/>
      <c r="P102" s="1" t="n"/>
      <c r="Q102" s="1" t="n"/>
      <c r="R102" s="1" t="n"/>
      <c r="S102" s="1" t="n"/>
    </row>
    <row r="103" ht="18" customHeight="1">
      <c r="A103" s="1" t="n"/>
      <c r="B103" s="39" t="n"/>
      <c r="C103" s="39" t="n"/>
      <c r="D103" s="39" t="n"/>
      <c r="E103" s="39" t="n"/>
      <c r="F103" s="39" t="n"/>
      <c r="G103" s="39" t="n"/>
      <c r="H103" s="39" t="n"/>
      <c r="I103" s="39" t="n"/>
      <c r="J103" s="39" t="n"/>
      <c r="K103" s="39" t="n"/>
      <c r="L103" s="39" t="n"/>
      <c r="M103" s="40" t="n"/>
      <c r="N103" s="39" t="n"/>
      <c r="O103" s="1" t="n"/>
      <c r="P103" s="1" t="n"/>
      <c r="Q103" s="1" t="n"/>
      <c r="R103" s="1" t="n"/>
      <c r="S103" s="1" t="n"/>
    </row>
    <row r="104" ht="18" customHeight="1">
      <c r="A104" s="1" t="n"/>
      <c r="B104" s="33" t="n"/>
      <c r="C104" s="33" t="n"/>
      <c r="D104" s="33" t="n"/>
      <c r="E104" s="33" t="n"/>
      <c r="F104" s="33" t="n"/>
      <c r="G104" s="33" t="n"/>
      <c r="H104" s="33" t="n"/>
      <c r="I104" s="33" t="n"/>
      <c r="J104" s="33" t="n"/>
      <c r="K104" s="33" t="n"/>
      <c r="L104" s="33" t="n"/>
      <c r="M104" s="42" t="n"/>
      <c r="N104" s="33" t="n"/>
      <c r="O104" s="1" t="n"/>
      <c r="P104" s="1" t="n"/>
      <c r="Q104" s="1" t="n"/>
      <c r="R104" s="1" t="n"/>
      <c r="S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</row>
  </sheetData>
  <mergeCells count="1">
    <mergeCell ref="B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67E22"/>
    <outlinePr summaryBelow="1" summaryRight="1"/>
    <pageSetUpPr/>
  </sheetPr>
  <dimension ref="A1:M5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4" customWidth="1" min="3" max="3"/>
    <col width="18" customWidth="1" min="4" max="4"/>
    <col width="14" customWidth="1" min="5" max="5"/>
    <col width="20" customWidth="1" min="6" max="6"/>
    <col width="30" customWidth="1" min="7" max="7"/>
    <col width="14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2" customHeight="1">
      <c r="A2" s="1" t="n"/>
      <c r="B2" s="48" t="inlineStr">
        <is>
          <t>🔔  FOLLOW-UP AUTOMÁTICO — ALERTAS DE RETORNO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 ht="22" customHeight="1">
      <c r="A4" s="1" t="n"/>
      <c r="B4" s="38" t="inlineStr">
        <is>
          <t>CLIENTE</t>
        </is>
      </c>
      <c r="C4" s="38" t="inlineStr">
        <is>
          <t>TELEFONE</t>
        </is>
      </c>
      <c r="D4" s="38" t="inlineStr">
        <is>
          <t>DATA ÚLTIMA TATTOO</t>
        </is>
      </c>
      <c r="E4" s="38" t="inlineStr">
        <is>
          <t>DIAS PASSADOS</t>
        </is>
      </c>
      <c r="F4" s="38" t="inlineStr">
        <is>
          <t>ALERTA</t>
        </is>
      </c>
      <c r="G4" s="38" t="inlineStr">
        <is>
          <t>AÇÃO SUGERIDA</t>
        </is>
      </c>
      <c r="H4" s="38" t="inlineStr">
        <is>
          <t>STATUS</t>
        </is>
      </c>
      <c r="I4" s="1" t="n"/>
      <c r="J4" s="1" t="n"/>
      <c r="K4" s="1" t="n"/>
      <c r="L4" s="1" t="n"/>
      <c r="M4" s="1" t="n"/>
    </row>
    <row r="5" ht="18" customHeight="1">
      <c r="A5" s="1" t="n"/>
      <c r="B5" s="39" t="n"/>
      <c r="C5" s="39" t="n"/>
      <c r="D5" s="39" t="n"/>
      <c r="E5" s="49">
        <f>IF(D5&lt;&gt;"",TODAY()-D5,"")</f>
        <v/>
      </c>
      <c r="F5" s="39">
        <f>IF(E5="","",IF(E5&gt;90,"🔴 ENTRAR EM CONTATO",IF(E5&gt;60,"🟡 VERIFICAR EM BREVE","🟢 OK")))</f>
        <v/>
      </c>
      <c r="G5" s="39">
        <f>IF(E5&gt;90,"Enviar mensagem no WhatsApp com oferta especial",IF(E5&gt;60,"Perguntar sobre nova ideia de tattoo","Aguardar"))</f>
        <v/>
      </c>
      <c r="H5" s="39" t="n"/>
      <c r="I5" s="1" t="n"/>
      <c r="J5" s="1" t="n"/>
      <c r="K5" s="1" t="n"/>
      <c r="L5" s="1" t="n"/>
      <c r="M5" s="1" t="n"/>
    </row>
    <row r="6" ht="18" customHeight="1">
      <c r="A6" s="1" t="n"/>
      <c r="B6" s="33" t="n"/>
      <c r="C6" s="33" t="n"/>
      <c r="D6" s="33" t="n"/>
      <c r="E6" s="50">
        <f>IF(D6&lt;&gt;"",TODAY()-D6,"")</f>
        <v/>
      </c>
      <c r="F6" s="33">
        <f>IF(E6="","",IF(E6&gt;90,"🔴 ENTRAR EM CONTATO",IF(E6&gt;60,"🟡 VERIFICAR EM BREVE","🟢 OK")))</f>
        <v/>
      </c>
      <c r="G6" s="33">
        <f>IF(E6&gt;90,"Enviar mensagem no WhatsApp com oferta especial",IF(E6&gt;60,"Perguntar sobre nova ideia de tattoo","Aguardar"))</f>
        <v/>
      </c>
      <c r="H6" s="33" t="n"/>
      <c r="I6" s="1" t="n"/>
      <c r="J6" s="1" t="n"/>
      <c r="K6" s="1" t="n"/>
      <c r="L6" s="1" t="n"/>
      <c r="M6" s="1" t="n"/>
    </row>
    <row r="7" ht="18" customHeight="1">
      <c r="A7" s="1" t="n"/>
      <c r="B7" s="39" t="n"/>
      <c r="C7" s="39" t="n"/>
      <c r="D7" s="39" t="n"/>
      <c r="E7" s="49">
        <f>IF(D7&lt;&gt;"",TODAY()-D7,"")</f>
        <v/>
      </c>
      <c r="F7" s="39">
        <f>IF(E7="","",IF(E7&gt;90,"🔴 ENTRAR EM CONTATO",IF(E7&gt;60,"🟡 VERIFICAR EM BREVE","🟢 OK")))</f>
        <v/>
      </c>
      <c r="G7" s="39">
        <f>IF(E7&gt;90,"Enviar mensagem no WhatsApp com oferta especial",IF(E7&gt;60,"Perguntar sobre nova ideia de tattoo","Aguardar"))</f>
        <v/>
      </c>
      <c r="H7" s="39" t="n"/>
      <c r="I7" s="1" t="n"/>
      <c r="J7" s="1" t="n"/>
      <c r="K7" s="1" t="n"/>
      <c r="L7" s="1" t="n"/>
      <c r="M7" s="1" t="n"/>
    </row>
    <row r="8" ht="18" customHeight="1">
      <c r="A8" s="1" t="n"/>
      <c r="B8" s="33" t="n"/>
      <c r="C8" s="33" t="n"/>
      <c r="D8" s="33" t="n"/>
      <c r="E8" s="50">
        <f>IF(D8&lt;&gt;"",TODAY()-D8,"")</f>
        <v/>
      </c>
      <c r="F8" s="33">
        <f>IF(E8="","",IF(E8&gt;90,"🔴 ENTRAR EM CONTATO",IF(E8&gt;60,"🟡 VERIFICAR EM BREVE","🟢 OK")))</f>
        <v/>
      </c>
      <c r="G8" s="33">
        <f>IF(E8&gt;90,"Enviar mensagem no WhatsApp com oferta especial",IF(E8&gt;60,"Perguntar sobre nova ideia de tattoo","Aguardar"))</f>
        <v/>
      </c>
      <c r="H8" s="33" t="n"/>
      <c r="I8" s="1" t="n"/>
      <c r="J8" s="1" t="n"/>
      <c r="K8" s="1" t="n"/>
      <c r="L8" s="1" t="n"/>
      <c r="M8" s="1" t="n"/>
    </row>
    <row r="9" ht="18" customHeight="1">
      <c r="A9" s="1" t="n"/>
      <c r="B9" s="39" t="n"/>
      <c r="C9" s="39" t="n"/>
      <c r="D9" s="39" t="n"/>
      <c r="E9" s="49">
        <f>IF(D9&lt;&gt;"",TODAY()-D9,"")</f>
        <v/>
      </c>
      <c r="F9" s="39">
        <f>IF(E9="","",IF(E9&gt;90,"🔴 ENTRAR EM CONTATO",IF(E9&gt;60,"🟡 VERIFICAR EM BREVE","🟢 OK")))</f>
        <v/>
      </c>
      <c r="G9" s="39">
        <f>IF(E9&gt;90,"Enviar mensagem no WhatsApp com oferta especial",IF(E9&gt;60,"Perguntar sobre nova ideia de tattoo","Aguardar"))</f>
        <v/>
      </c>
      <c r="H9" s="39" t="n"/>
      <c r="I9" s="1" t="n"/>
      <c r="J9" s="1" t="n"/>
      <c r="K9" s="1" t="n"/>
      <c r="L9" s="1" t="n"/>
      <c r="M9" s="1" t="n"/>
    </row>
    <row r="10" ht="18" customHeight="1">
      <c r="A10" s="1" t="n"/>
      <c r="B10" s="33" t="n"/>
      <c r="C10" s="33" t="n"/>
      <c r="D10" s="33" t="n"/>
      <c r="E10" s="50">
        <f>IF(D10&lt;&gt;"",TODAY()-D10,"")</f>
        <v/>
      </c>
      <c r="F10" s="33">
        <f>IF(E10="","",IF(E10&gt;90,"🔴 ENTRAR EM CONTATO",IF(E10&gt;60,"🟡 VERIFICAR EM BREVE","🟢 OK")))</f>
        <v/>
      </c>
      <c r="G10" s="33">
        <f>IF(E10&gt;90,"Enviar mensagem no WhatsApp com oferta especial",IF(E10&gt;60,"Perguntar sobre nova ideia de tattoo","Aguardar"))</f>
        <v/>
      </c>
      <c r="H10" s="33" t="n"/>
      <c r="I10" s="1" t="n"/>
      <c r="J10" s="1" t="n"/>
      <c r="K10" s="1" t="n"/>
      <c r="L10" s="1" t="n"/>
      <c r="M10" s="1" t="n"/>
    </row>
    <row r="11" ht="18" customHeight="1">
      <c r="A11" s="1" t="n"/>
      <c r="B11" s="39" t="n"/>
      <c r="C11" s="39" t="n"/>
      <c r="D11" s="39" t="n"/>
      <c r="E11" s="49">
        <f>IF(D11&lt;&gt;"",TODAY()-D11,"")</f>
        <v/>
      </c>
      <c r="F11" s="39">
        <f>IF(E11="","",IF(E11&gt;90,"🔴 ENTRAR EM CONTATO",IF(E11&gt;60,"🟡 VERIFICAR EM BREVE","🟢 OK")))</f>
        <v/>
      </c>
      <c r="G11" s="39">
        <f>IF(E11&gt;90,"Enviar mensagem no WhatsApp com oferta especial",IF(E11&gt;60,"Perguntar sobre nova ideia de tattoo","Aguardar"))</f>
        <v/>
      </c>
      <c r="H11" s="39" t="n"/>
      <c r="I11" s="1" t="n"/>
      <c r="J11" s="1" t="n"/>
      <c r="K11" s="1" t="n"/>
      <c r="L11" s="1" t="n"/>
      <c r="M11" s="1" t="n"/>
    </row>
    <row r="12" ht="18" customHeight="1">
      <c r="A12" s="1" t="n"/>
      <c r="B12" s="33" t="n"/>
      <c r="C12" s="33" t="n"/>
      <c r="D12" s="33" t="n"/>
      <c r="E12" s="50">
        <f>IF(D12&lt;&gt;"",TODAY()-D12,"")</f>
        <v/>
      </c>
      <c r="F12" s="33">
        <f>IF(E12="","",IF(E12&gt;90,"🔴 ENTRAR EM CONTATO",IF(E12&gt;60,"🟡 VERIFICAR EM BREVE","🟢 OK")))</f>
        <v/>
      </c>
      <c r="G12" s="33">
        <f>IF(E12&gt;90,"Enviar mensagem no WhatsApp com oferta especial",IF(E12&gt;60,"Perguntar sobre nova ideia de tattoo","Aguardar"))</f>
        <v/>
      </c>
      <c r="H12" s="33" t="n"/>
      <c r="I12" s="1" t="n"/>
      <c r="J12" s="1" t="n"/>
      <c r="K12" s="1" t="n"/>
      <c r="L12" s="1" t="n"/>
      <c r="M12" s="1" t="n"/>
    </row>
    <row r="13" ht="18" customHeight="1">
      <c r="A13" s="1" t="n"/>
      <c r="B13" s="39" t="n"/>
      <c r="C13" s="39" t="n"/>
      <c r="D13" s="39" t="n"/>
      <c r="E13" s="49">
        <f>IF(D13&lt;&gt;"",TODAY()-D13,"")</f>
        <v/>
      </c>
      <c r="F13" s="39">
        <f>IF(E13="","",IF(E13&gt;90,"🔴 ENTRAR EM CONTATO",IF(E13&gt;60,"🟡 VERIFICAR EM BREVE","🟢 OK")))</f>
        <v/>
      </c>
      <c r="G13" s="39">
        <f>IF(E13&gt;90,"Enviar mensagem no WhatsApp com oferta especial",IF(E13&gt;60,"Perguntar sobre nova ideia de tattoo","Aguardar"))</f>
        <v/>
      </c>
      <c r="H13" s="39" t="n"/>
      <c r="I13" s="1" t="n"/>
      <c r="J13" s="1" t="n"/>
      <c r="K13" s="1" t="n"/>
      <c r="L13" s="1" t="n"/>
      <c r="M13" s="1" t="n"/>
    </row>
    <row r="14" ht="18" customHeight="1">
      <c r="A14" s="1" t="n"/>
      <c r="B14" s="33" t="n"/>
      <c r="C14" s="33" t="n"/>
      <c r="D14" s="33" t="n"/>
      <c r="E14" s="50">
        <f>IF(D14&lt;&gt;"",TODAY()-D14,"")</f>
        <v/>
      </c>
      <c r="F14" s="33">
        <f>IF(E14="","",IF(E14&gt;90,"🔴 ENTRAR EM CONTATO",IF(E14&gt;60,"🟡 VERIFICAR EM BREVE","🟢 OK")))</f>
        <v/>
      </c>
      <c r="G14" s="33">
        <f>IF(E14&gt;90,"Enviar mensagem no WhatsApp com oferta especial",IF(E14&gt;60,"Perguntar sobre nova ideia de tattoo","Aguardar"))</f>
        <v/>
      </c>
      <c r="H14" s="33" t="n"/>
      <c r="I14" s="1" t="n"/>
      <c r="J14" s="1" t="n"/>
      <c r="K14" s="1" t="n"/>
      <c r="L14" s="1" t="n"/>
      <c r="M14" s="1" t="n"/>
    </row>
    <row r="15" ht="18" customHeight="1">
      <c r="A15" s="1" t="n"/>
      <c r="B15" s="39" t="n"/>
      <c r="C15" s="39" t="n"/>
      <c r="D15" s="39" t="n"/>
      <c r="E15" s="49">
        <f>IF(D15&lt;&gt;"",TODAY()-D15,"")</f>
        <v/>
      </c>
      <c r="F15" s="39">
        <f>IF(E15="","",IF(E15&gt;90,"🔴 ENTRAR EM CONTATO",IF(E15&gt;60,"🟡 VERIFICAR EM BREVE","🟢 OK")))</f>
        <v/>
      </c>
      <c r="G15" s="39">
        <f>IF(E15&gt;90,"Enviar mensagem no WhatsApp com oferta especial",IF(E15&gt;60,"Perguntar sobre nova ideia de tattoo","Aguardar"))</f>
        <v/>
      </c>
      <c r="H15" s="39" t="n"/>
      <c r="I15" s="1" t="n"/>
      <c r="J15" s="1" t="n"/>
      <c r="K15" s="1" t="n"/>
      <c r="L15" s="1" t="n"/>
      <c r="M15" s="1" t="n"/>
    </row>
    <row r="16" ht="18" customHeight="1">
      <c r="A16" s="1" t="n"/>
      <c r="B16" s="33" t="n"/>
      <c r="C16" s="33" t="n"/>
      <c r="D16" s="33" t="n"/>
      <c r="E16" s="50">
        <f>IF(D16&lt;&gt;"",TODAY()-D16,"")</f>
        <v/>
      </c>
      <c r="F16" s="33">
        <f>IF(E16="","",IF(E16&gt;90,"🔴 ENTRAR EM CONTATO",IF(E16&gt;60,"🟡 VERIFICAR EM BREVE","🟢 OK")))</f>
        <v/>
      </c>
      <c r="G16" s="33">
        <f>IF(E16&gt;90,"Enviar mensagem no WhatsApp com oferta especial",IF(E16&gt;60,"Perguntar sobre nova ideia de tattoo","Aguardar"))</f>
        <v/>
      </c>
      <c r="H16" s="33" t="n"/>
      <c r="I16" s="1" t="n"/>
      <c r="J16" s="1" t="n"/>
      <c r="K16" s="1" t="n"/>
      <c r="L16" s="1" t="n"/>
      <c r="M16" s="1" t="n"/>
    </row>
    <row r="17" ht="18" customHeight="1">
      <c r="A17" s="1" t="n"/>
      <c r="B17" s="39" t="n"/>
      <c r="C17" s="39" t="n"/>
      <c r="D17" s="39" t="n"/>
      <c r="E17" s="49">
        <f>IF(D17&lt;&gt;"",TODAY()-D17,"")</f>
        <v/>
      </c>
      <c r="F17" s="39">
        <f>IF(E17="","",IF(E17&gt;90,"🔴 ENTRAR EM CONTATO",IF(E17&gt;60,"🟡 VERIFICAR EM BREVE","🟢 OK")))</f>
        <v/>
      </c>
      <c r="G17" s="39">
        <f>IF(E17&gt;90,"Enviar mensagem no WhatsApp com oferta especial",IF(E17&gt;60,"Perguntar sobre nova ideia de tattoo","Aguardar"))</f>
        <v/>
      </c>
      <c r="H17" s="39" t="n"/>
      <c r="I17" s="1" t="n"/>
      <c r="J17" s="1" t="n"/>
      <c r="K17" s="1" t="n"/>
      <c r="L17" s="1" t="n"/>
      <c r="M17" s="1" t="n"/>
    </row>
    <row r="18" ht="18" customHeight="1">
      <c r="A18" s="1" t="n"/>
      <c r="B18" s="33" t="n"/>
      <c r="C18" s="33" t="n"/>
      <c r="D18" s="33" t="n"/>
      <c r="E18" s="50">
        <f>IF(D18&lt;&gt;"",TODAY()-D18,"")</f>
        <v/>
      </c>
      <c r="F18" s="33">
        <f>IF(E18="","",IF(E18&gt;90,"🔴 ENTRAR EM CONTATO",IF(E18&gt;60,"🟡 VERIFICAR EM BREVE","🟢 OK")))</f>
        <v/>
      </c>
      <c r="G18" s="33">
        <f>IF(E18&gt;90,"Enviar mensagem no WhatsApp com oferta especial",IF(E18&gt;60,"Perguntar sobre nova ideia de tattoo","Aguardar"))</f>
        <v/>
      </c>
      <c r="H18" s="33" t="n"/>
      <c r="I18" s="1" t="n"/>
      <c r="J18" s="1" t="n"/>
      <c r="K18" s="1" t="n"/>
      <c r="L18" s="1" t="n"/>
      <c r="M18" s="1" t="n"/>
    </row>
    <row r="19" ht="18" customHeight="1">
      <c r="A19" s="1" t="n"/>
      <c r="B19" s="39" t="n"/>
      <c r="C19" s="39" t="n"/>
      <c r="D19" s="39" t="n"/>
      <c r="E19" s="49">
        <f>IF(D19&lt;&gt;"",TODAY()-D19,"")</f>
        <v/>
      </c>
      <c r="F19" s="39">
        <f>IF(E19="","",IF(E19&gt;90,"🔴 ENTRAR EM CONTATO",IF(E19&gt;60,"🟡 VERIFICAR EM BREVE","🟢 OK")))</f>
        <v/>
      </c>
      <c r="G19" s="39">
        <f>IF(E19&gt;90,"Enviar mensagem no WhatsApp com oferta especial",IF(E19&gt;60,"Perguntar sobre nova ideia de tattoo","Aguardar"))</f>
        <v/>
      </c>
      <c r="H19" s="39" t="n"/>
      <c r="I19" s="1" t="n"/>
      <c r="J19" s="1" t="n"/>
      <c r="K19" s="1" t="n"/>
      <c r="L19" s="1" t="n"/>
      <c r="M19" s="1" t="n"/>
    </row>
    <row r="20" ht="18" customHeight="1">
      <c r="A20" s="1" t="n"/>
      <c r="B20" s="33" t="n"/>
      <c r="C20" s="33" t="n"/>
      <c r="D20" s="33" t="n"/>
      <c r="E20" s="50">
        <f>IF(D20&lt;&gt;"",TODAY()-D20,"")</f>
        <v/>
      </c>
      <c r="F20" s="33">
        <f>IF(E20="","",IF(E20&gt;90,"🔴 ENTRAR EM CONTATO",IF(E20&gt;60,"🟡 VERIFICAR EM BREVE","🟢 OK")))</f>
        <v/>
      </c>
      <c r="G20" s="33">
        <f>IF(E20&gt;90,"Enviar mensagem no WhatsApp com oferta especial",IF(E20&gt;60,"Perguntar sobre nova ideia de tattoo","Aguardar"))</f>
        <v/>
      </c>
      <c r="H20" s="33" t="n"/>
      <c r="I20" s="1" t="n"/>
      <c r="J20" s="1" t="n"/>
      <c r="K20" s="1" t="n"/>
      <c r="L20" s="1" t="n"/>
      <c r="M20" s="1" t="n"/>
    </row>
    <row r="21" ht="18" customHeight="1">
      <c r="A21" s="1" t="n"/>
      <c r="B21" s="39" t="n"/>
      <c r="C21" s="39" t="n"/>
      <c r="D21" s="39" t="n"/>
      <c r="E21" s="49">
        <f>IF(D21&lt;&gt;"",TODAY()-D21,"")</f>
        <v/>
      </c>
      <c r="F21" s="39">
        <f>IF(E21="","",IF(E21&gt;90,"🔴 ENTRAR EM CONTATO",IF(E21&gt;60,"🟡 VERIFICAR EM BREVE","🟢 OK")))</f>
        <v/>
      </c>
      <c r="G21" s="39">
        <f>IF(E21&gt;90,"Enviar mensagem no WhatsApp com oferta especial",IF(E21&gt;60,"Perguntar sobre nova ideia de tattoo","Aguardar"))</f>
        <v/>
      </c>
      <c r="H21" s="39" t="n"/>
      <c r="I21" s="1" t="n"/>
      <c r="J21" s="1" t="n"/>
      <c r="K21" s="1" t="n"/>
      <c r="L21" s="1" t="n"/>
      <c r="M21" s="1" t="n"/>
    </row>
    <row r="22" ht="18" customHeight="1">
      <c r="A22" s="1" t="n"/>
      <c r="B22" s="33" t="n"/>
      <c r="C22" s="33" t="n"/>
      <c r="D22" s="33" t="n"/>
      <c r="E22" s="50">
        <f>IF(D22&lt;&gt;"",TODAY()-D22,"")</f>
        <v/>
      </c>
      <c r="F22" s="33">
        <f>IF(E22="","",IF(E22&gt;90,"🔴 ENTRAR EM CONTATO",IF(E22&gt;60,"🟡 VERIFICAR EM BREVE","🟢 OK")))</f>
        <v/>
      </c>
      <c r="G22" s="33">
        <f>IF(E22&gt;90,"Enviar mensagem no WhatsApp com oferta especial",IF(E22&gt;60,"Perguntar sobre nova ideia de tattoo","Aguardar"))</f>
        <v/>
      </c>
      <c r="H22" s="33" t="n"/>
      <c r="I22" s="1" t="n"/>
      <c r="J22" s="1" t="n"/>
      <c r="K22" s="1" t="n"/>
      <c r="L22" s="1" t="n"/>
      <c r="M22" s="1" t="n"/>
    </row>
    <row r="23" ht="18" customHeight="1">
      <c r="A23" s="1" t="n"/>
      <c r="B23" s="39" t="n"/>
      <c r="C23" s="39" t="n"/>
      <c r="D23" s="39" t="n"/>
      <c r="E23" s="49">
        <f>IF(D23&lt;&gt;"",TODAY()-D23,"")</f>
        <v/>
      </c>
      <c r="F23" s="39">
        <f>IF(E23="","",IF(E23&gt;90,"🔴 ENTRAR EM CONTATO",IF(E23&gt;60,"🟡 VERIFICAR EM BREVE","🟢 OK")))</f>
        <v/>
      </c>
      <c r="G23" s="39">
        <f>IF(E23&gt;90,"Enviar mensagem no WhatsApp com oferta especial",IF(E23&gt;60,"Perguntar sobre nova ideia de tattoo","Aguardar"))</f>
        <v/>
      </c>
      <c r="H23" s="39" t="n"/>
      <c r="I23" s="1" t="n"/>
      <c r="J23" s="1" t="n"/>
      <c r="K23" s="1" t="n"/>
      <c r="L23" s="1" t="n"/>
      <c r="M23" s="1" t="n"/>
    </row>
    <row r="24" ht="18" customHeight="1">
      <c r="A24" s="1" t="n"/>
      <c r="B24" s="33" t="n"/>
      <c r="C24" s="33" t="n"/>
      <c r="D24" s="33" t="n"/>
      <c r="E24" s="50">
        <f>IF(D24&lt;&gt;"",TODAY()-D24,"")</f>
        <v/>
      </c>
      <c r="F24" s="33">
        <f>IF(E24="","",IF(E24&gt;90,"🔴 ENTRAR EM CONTATO",IF(E24&gt;60,"🟡 VERIFICAR EM BREVE","🟢 OK")))</f>
        <v/>
      </c>
      <c r="G24" s="33">
        <f>IF(E24&gt;90,"Enviar mensagem no WhatsApp com oferta especial",IF(E24&gt;60,"Perguntar sobre nova ideia de tattoo","Aguardar"))</f>
        <v/>
      </c>
      <c r="H24" s="33" t="n"/>
      <c r="I24" s="1" t="n"/>
      <c r="J24" s="1" t="n"/>
      <c r="K24" s="1" t="n"/>
      <c r="L24" s="1" t="n"/>
      <c r="M24" s="1" t="n"/>
    </row>
    <row r="25" ht="18" customHeight="1">
      <c r="A25" s="1" t="n"/>
      <c r="B25" s="39" t="n"/>
      <c r="C25" s="39" t="n"/>
      <c r="D25" s="39" t="n"/>
      <c r="E25" s="49">
        <f>IF(D25&lt;&gt;"",TODAY()-D25,"")</f>
        <v/>
      </c>
      <c r="F25" s="39">
        <f>IF(E25="","",IF(E25&gt;90,"🔴 ENTRAR EM CONTATO",IF(E25&gt;60,"🟡 VERIFICAR EM BREVE","🟢 OK")))</f>
        <v/>
      </c>
      <c r="G25" s="39">
        <f>IF(E25&gt;90,"Enviar mensagem no WhatsApp com oferta especial",IF(E25&gt;60,"Perguntar sobre nova ideia de tattoo","Aguardar"))</f>
        <v/>
      </c>
      <c r="H25" s="39" t="n"/>
      <c r="I25" s="1" t="n"/>
      <c r="J25" s="1" t="n"/>
      <c r="K25" s="1" t="n"/>
      <c r="L25" s="1" t="n"/>
      <c r="M25" s="1" t="n"/>
    </row>
    <row r="26" ht="18" customHeight="1">
      <c r="A26" s="1" t="n"/>
      <c r="B26" s="33" t="n"/>
      <c r="C26" s="33" t="n"/>
      <c r="D26" s="33" t="n"/>
      <c r="E26" s="50">
        <f>IF(D26&lt;&gt;"",TODAY()-D26,"")</f>
        <v/>
      </c>
      <c r="F26" s="33">
        <f>IF(E26="","",IF(E26&gt;90,"🔴 ENTRAR EM CONTATO",IF(E26&gt;60,"🟡 VERIFICAR EM BREVE","🟢 OK")))</f>
        <v/>
      </c>
      <c r="G26" s="33">
        <f>IF(E26&gt;90,"Enviar mensagem no WhatsApp com oferta especial",IF(E26&gt;60,"Perguntar sobre nova ideia de tattoo","Aguardar"))</f>
        <v/>
      </c>
      <c r="H26" s="33" t="n"/>
      <c r="I26" s="1" t="n"/>
      <c r="J26" s="1" t="n"/>
      <c r="K26" s="1" t="n"/>
      <c r="L26" s="1" t="n"/>
      <c r="M26" s="1" t="n"/>
    </row>
    <row r="27" ht="18" customHeight="1">
      <c r="A27" s="1" t="n"/>
      <c r="B27" s="39" t="n"/>
      <c r="C27" s="39" t="n"/>
      <c r="D27" s="39" t="n"/>
      <c r="E27" s="49">
        <f>IF(D27&lt;&gt;"",TODAY()-D27,"")</f>
        <v/>
      </c>
      <c r="F27" s="39">
        <f>IF(E27="","",IF(E27&gt;90,"🔴 ENTRAR EM CONTATO",IF(E27&gt;60,"🟡 VERIFICAR EM BREVE","🟢 OK")))</f>
        <v/>
      </c>
      <c r="G27" s="39">
        <f>IF(E27&gt;90,"Enviar mensagem no WhatsApp com oferta especial",IF(E27&gt;60,"Perguntar sobre nova ideia de tattoo","Aguardar"))</f>
        <v/>
      </c>
      <c r="H27" s="39" t="n"/>
      <c r="I27" s="1" t="n"/>
      <c r="J27" s="1" t="n"/>
      <c r="K27" s="1" t="n"/>
      <c r="L27" s="1" t="n"/>
      <c r="M27" s="1" t="n"/>
    </row>
    <row r="28" ht="18" customHeight="1">
      <c r="A28" s="1" t="n"/>
      <c r="B28" s="33" t="n"/>
      <c r="C28" s="33" t="n"/>
      <c r="D28" s="33" t="n"/>
      <c r="E28" s="50">
        <f>IF(D28&lt;&gt;"",TODAY()-D28,"")</f>
        <v/>
      </c>
      <c r="F28" s="33">
        <f>IF(E28="","",IF(E28&gt;90,"🔴 ENTRAR EM CONTATO",IF(E28&gt;60,"🟡 VERIFICAR EM BREVE","🟢 OK")))</f>
        <v/>
      </c>
      <c r="G28" s="33">
        <f>IF(E28&gt;90,"Enviar mensagem no WhatsApp com oferta especial",IF(E28&gt;60,"Perguntar sobre nova ideia de tattoo","Aguardar"))</f>
        <v/>
      </c>
      <c r="H28" s="33" t="n"/>
      <c r="I28" s="1" t="n"/>
      <c r="J28" s="1" t="n"/>
      <c r="K28" s="1" t="n"/>
      <c r="L28" s="1" t="n"/>
      <c r="M28" s="1" t="n"/>
    </row>
    <row r="29" ht="18" customHeight="1">
      <c r="A29" s="1" t="n"/>
      <c r="B29" s="39" t="n"/>
      <c r="C29" s="39" t="n"/>
      <c r="D29" s="39" t="n"/>
      <c r="E29" s="49">
        <f>IF(D29&lt;&gt;"",TODAY()-D29,"")</f>
        <v/>
      </c>
      <c r="F29" s="39">
        <f>IF(E29="","",IF(E29&gt;90,"🔴 ENTRAR EM CONTATO",IF(E29&gt;60,"🟡 VERIFICAR EM BREVE","🟢 OK")))</f>
        <v/>
      </c>
      <c r="G29" s="39">
        <f>IF(E29&gt;90,"Enviar mensagem no WhatsApp com oferta especial",IF(E29&gt;60,"Perguntar sobre nova ideia de tattoo","Aguardar"))</f>
        <v/>
      </c>
      <c r="H29" s="39" t="n"/>
      <c r="I29" s="1" t="n"/>
      <c r="J29" s="1" t="n"/>
      <c r="K29" s="1" t="n"/>
      <c r="L29" s="1" t="n"/>
      <c r="M29" s="1" t="n"/>
    </row>
    <row r="30" ht="18" customHeight="1">
      <c r="A30" s="1" t="n"/>
      <c r="B30" s="33" t="n"/>
      <c r="C30" s="33" t="n"/>
      <c r="D30" s="33" t="n"/>
      <c r="E30" s="50">
        <f>IF(D30&lt;&gt;"",TODAY()-D30,"")</f>
        <v/>
      </c>
      <c r="F30" s="33">
        <f>IF(E30="","",IF(E30&gt;90,"🔴 ENTRAR EM CONTATO",IF(E30&gt;60,"🟡 VERIFICAR EM BREVE","🟢 OK")))</f>
        <v/>
      </c>
      <c r="G30" s="33">
        <f>IF(E30&gt;90,"Enviar mensagem no WhatsApp com oferta especial",IF(E30&gt;60,"Perguntar sobre nova ideia de tattoo","Aguardar"))</f>
        <v/>
      </c>
      <c r="H30" s="33" t="n"/>
      <c r="I30" s="1" t="n"/>
      <c r="J30" s="1" t="n"/>
      <c r="K30" s="1" t="n"/>
      <c r="L30" s="1" t="n"/>
      <c r="M30" s="1" t="n"/>
    </row>
    <row r="31" ht="18" customHeight="1">
      <c r="A31" s="1" t="n"/>
      <c r="B31" s="39" t="n"/>
      <c r="C31" s="39" t="n"/>
      <c r="D31" s="39" t="n"/>
      <c r="E31" s="49">
        <f>IF(D31&lt;&gt;"",TODAY()-D31,"")</f>
        <v/>
      </c>
      <c r="F31" s="39">
        <f>IF(E31="","",IF(E31&gt;90,"🔴 ENTRAR EM CONTATO",IF(E31&gt;60,"🟡 VERIFICAR EM BREVE","🟢 OK")))</f>
        <v/>
      </c>
      <c r="G31" s="39">
        <f>IF(E31&gt;90,"Enviar mensagem no WhatsApp com oferta especial",IF(E31&gt;60,"Perguntar sobre nova ideia de tattoo","Aguardar"))</f>
        <v/>
      </c>
      <c r="H31" s="39" t="n"/>
      <c r="I31" s="1" t="n"/>
      <c r="J31" s="1" t="n"/>
      <c r="K31" s="1" t="n"/>
      <c r="L31" s="1" t="n"/>
      <c r="M31" s="1" t="n"/>
    </row>
    <row r="32" ht="18" customHeight="1">
      <c r="A32" s="1" t="n"/>
      <c r="B32" s="33" t="n"/>
      <c r="C32" s="33" t="n"/>
      <c r="D32" s="33" t="n"/>
      <c r="E32" s="50">
        <f>IF(D32&lt;&gt;"",TODAY()-D32,"")</f>
        <v/>
      </c>
      <c r="F32" s="33">
        <f>IF(E32="","",IF(E32&gt;90,"🔴 ENTRAR EM CONTATO",IF(E32&gt;60,"🟡 VERIFICAR EM BREVE","🟢 OK")))</f>
        <v/>
      </c>
      <c r="G32" s="33">
        <f>IF(E32&gt;90,"Enviar mensagem no WhatsApp com oferta especial",IF(E32&gt;60,"Perguntar sobre nova ideia de tattoo","Aguardar"))</f>
        <v/>
      </c>
      <c r="H32" s="33" t="n"/>
      <c r="I32" s="1" t="n"/>
      <c r="J32" s="1" t="n"/>
      <c r="K32" s="1" t="n"/>
      <c r="L32" s="1" t="n"/>
      <c r="M32" s="1" t="n"/>
    </row>
    <row r="33" ht="18" customHeight="1">
      <c r="A33" s="1" t="n"/>
      <c r="B33" s="39" t="n"/>
      <c r="C33" s="39" t="n"/>
      <c r="D33" s="39" t="n"/>
      <c r="E33" s="49">
        <f>IF(D33&lt;&gt;"",TODAY()-D33,"")</f>
        <v/>
      </c>
      <c r="F33" s="39">
        <f>IF(E33="","",IF(E33&gt;90,"🔴 ENTRAR EM CONTATO",IF(E33&gt;60,"🟡 VERIFICAR EM BREVE","🟢 OK")))</f>
        <v/>
      </c>
      <c r="G33" s="39">
        <f>IF(E33&gt;90,"Enviar mensagem no WhatsApp com oferta especial",IF(E33&gt;60,"Perguntar sobre nova ideia de tattoo","Aguardar"))</f>
        <v/>
      </c>
      <c r="H33" s="39" t="n"/>
      <c r="I33" s="1" t="n"/>
      <c r="J33" s="1" t="n"/>
      <c r="K33" s="1" t="n"/>
      <c r="L33" s="1" t="n"/>
      <c r="M33" s="1" t="n"/>
    </row>
    <row r="34" ht="18" customHeight="1">
      <c r="A34" s="1" t="n"/>
      <c r="B34" s="33" t="n"/>
      <c r="C34" s="33" t="n"/>
      <c r="D34" s="33" t="n"/>
      <c r="E34" s="50">
        <f>IF(D34&lt;&gt;"",TODAY()-D34,"")</f>
        <v/>
      </c>
      <c r="F34" s="33">
        <f>IF(E34="","",IF(E34&gt;90,"🔴 ENTRAR EM CONTATO",IF(E34&gt;60,"🟡 VERIFICAR EM BREVE","🟢 OK")))</f>
        <v/>
      </c>
      <c r="G34" s="33">
        <f>IF(E34&gt;90,"Enviar mensagem no WhatsApp com oferta especial",IF(E34&gt;60,"Perguntar sobre nova ideia de tattoo","Aguardar"))</f>
        <v/>
      </c>
      <c r="H34" s="33" t="n"/>
      <c r="I34" s="1" t="n"/>
      <c r="J34" s="1" t="n"/>
      <c r="K34" s="1" t="n"/>
      <c r="L34" s="1" t="n"/>
      <c r="M34" s="1" t="n"/>
    </row>
    <row r="35" ht="18" customHeight="1">
      <c r="A35" s="1" t="n"/>
      <c r="B35" s="39" t="n"/>
      <c r="C35" s="39" t="n"/>
      <c r="D35" s="39" t="n"/>
      <c r="E35" s="49">
        <f>IF(D35&lt;&gt;"",TODAY()-D35,"")</f>
        <v/>
      </c>
      <c r="F35" s="39">
        <f>IF(E35="","",IF(E35&gt;90,"🔴 ENTRAR EM CONTATO",IF(E35&gt;60,"🟡 VERIFICAR EM BREVE","🟢 OK")))</f>
        <v/>
      </c>
      <c r="G35" s="39">
        <f>IF(E35&gt;90,"Enviar mensagem no WhatsApp com oferta especial",IF(E35&gt;60,"Perguntar sobre nova ideia de tattoo","Aguardar"))</f>
        <v/>
      </c>
      <c r="H35" s="39" t="n"/>
      <c r="I35" s="1" t="n"/>
      <c r="J35" s="1" t="n"/>
      <c r="K35" s="1" t="n"/>
      <c r="L35" s="1" t="n"/>
      <c r="M35" s="1" t="n"/>
    </row>
    <row r="36" ht="18" customHeight="1">
      <c r="A36" s="1" t="n"/>
      <c r="B36" s="33" t="n"/>
      <c r="C36" s="33" t="n"/>
      <c r="D36" s="33" t="n"/>
      <c r="E36" s="50">
        <f>IF(D36&lt;&gt;"",TODAY()-D36,"")</f>
        <v/>
      </c>
      <c r="F36" s="33">
        <f>IF(E36="","",IF(E36&gt;90,"🔴 ENTRAR EM CONTATO",IF(E36&gt;60,"🟡 VERIFICAR EM BREVE","🟢 OK")))</f>
        <v/>
      </c>
      <c r="G36" s="33">
        <f>IF(E36&gt;90,"Enviar mensagem no WhatsApp com oferta especial",IF(E36&gt;60,"Perguntar sobre nova ideia de tattoo","Aguardar"))</f>
        <v/>
      </c>
      <c r="H36" s="33" t="n"/>
      <c r="I36" s="1" t="n"/>
      <c r="J36" s="1" t="n"/>
      <c r="K36" s="1" t="n"/>
      <c r="L36" s="1" t="n"/>
      <c r="M36" s="1" t="n"/>
    </row>
    <row r="37" ht="18" customHeight="1">
      <c r="A37" s="1" t="n"/>
      <c r="B37" s="39" t="n"/>
      <c r="C37" s="39" t="n"/>
      <c r="D37" s="39" t="n"/>
      <c r="E37" s="49">
        <f>IF(D37&lt;&gt;"",TODAY()-D37,"")</f>
        <v/>
      </c>
      <c r="F37" s="39">
        <f>IF(E37="","",IF(E37&gt;90,"🔴 ENTRAR EM CONTATO",IF(E37&gt;60,"🟡 VERIFICAR EM BREVE","🟢 OK")))</f>
        <v/>
      </c>
      <c r="G37" s="39">
        <f>IF(E37&gt;90,"Enviar mensagem no WhatsApp com oferta especial",IF(E37&gt;60,"Perguntar sobre nova ideia de tattoo","Aguardar"))</f>
        <v/>
      </c>
      <c r="H37" s="39" t="n"/>
      <c r="I37" s="1" t="n"/>
      <c r="J37" s="1" t="n"/>
      <c r="K37" s="1" t="n"/>
      <c r="L37" s="1" t="n"/>
      <c r="M37" s="1" t="n"/>
    </row>
    <row r="38" ht="18" customHeight="1">
      <c r="A38" s="1" t="n"/>
      <c r="B38" s="33" t="n"/>
      <c r="C38" s="33" t="n"/>
      <c r="D38" s="33" t="n"/>
      <c r="E38" s="50">
        <f>IF(D38&lt;&gt;"",TODAY()-D38,"")</f>
        <v/>
      </c>
      <c r="F38" s="33">
        <f>IF(E38="","",IF(E38&gt;90,"🔴 ENTRAR EM CONTATO",IF(E38&gt;60,"🟡 VERIFICAR EM BREVE","🟢 OK")))</f>
        <v/>
      </c>
      <c r="G38" s="33">
        <f>IF(E38&gt;90,"Enviar mensagem no WhatsApp com oferta especial",IF(E38&gt;60,"Perguntar sobre nova ideia de tattoo","Aguardar"))</f>
        <v/>
      </c>
      <c r="H38" s="33" t="n"/>
      <c r="I38" s="1" t="n"/>
      <c r="J38" s="1" t="n"/>
      <c r="K38" s="1" t="n"/>
      <c r="L38" s="1" t="n"/>
      <c r="M38" s="1" t="n"/>
    </row>
    <row r="39" ht="18" customHeight="1">
      <c r="A39" s="1" t="n"/>
      <c r="B39" s="39" t="n"/>
      <c r="C39" s="39" t="n"/>
      <c r="D39" s="39" t="n"/>
      <c r="E39" s="49">
        <f>IF(D39&lt;&gt;"",TODAY()-D39,"")</f>
        <v/>
      </c>
      <c r="F39" s="39">
        <f>IF(E39="","",IF(E39&gt;90,"🔴 ENTRAR EM CONTATO",IF(E39&gt;60,"🟡 VERIFICAR EM BREVE","🟢 OK")))</f>
        <v/>
      </c>
      <c r="G39" s="39">
        <f>IF(E39&gt;90,"Enviar mensagem no WhatsApp com oferta especial",IF(E39&gt;60,"Perguntar sobre nova ideia de tattoo","Aguardar"))</f>
        <v/>
      </c>
      <c r="H39" s="39" t="n"/>
      <c r="I39" s="1" t="n"/>
      <c r="J39" s="1" t="n"/>
      <c r="K39" s="1" t="n"/>
      <c r="L39" s="1" t="n"/>
      <c r="M39" s="1" t="n"/>
    </row>
    <row r="40" ht="18" customHeight="1">
      <c r="A40" s="1" t="n"/>
      <c r="B40" s="33" t="n"/>
      <c r="C40" s="33" t="n"/>
      <c r="D40" s="33" t="n"/>
      <c r="E40" s="50">
        <f>IF(D40&lt;&gt;"",TODAY()-D40,"")</f>
        <v/>
      </c>
      <c r="F40" s="33">
        <f>IF(E40="","",IF(E40&gt;90,"🔴 ENTRAR EM CONTATO",IF(E40&gt;60,"🟡 VERIFICAR EM BREVE","🟢 OK")))</f>
        <v/>
      </c>
      <c r="G40" s="33">
        <f>IF(E40&gt;90,"Enviar mensagem no WhatsApp com oferta especial",IF(E40&gt;60,"Perguntar sobre nova ideia de tattoo","Aguardar"))</f>
        <v/>
      </c>
      <c r="H40" s="33" t="n"/>
      <c r="I40" s="1" t="n"/>
      <c r="J40" s="1" t="n"/>
      <c r="K40" s="1" t="n"/>
      <c r="L40" s="1" t="n"/>
      <c r="M40" s="1" t="n"/>
    </row>
    <row r="41" ht="18" customHeight="1">
      <c r="A41" s="1" t="n"/>
      <c r="B41" s="39" t="n"/>
      <c r="C41" s="39" t="n"/>
      <c r="D41" s="39" t="n"/>
      <c r="E41" s="49">
        <f>IF(D41&lt;&gt;"",TODAY()-D41,"")</f>
        <v/>
      </c>
      <c r="F41" s="39">
        <f>IF(E41="","",IF(E41&gt;90,"🔴 ENTRAR EM CONTATO",IF(E41&gt;60,"🟡 VERIFICAR EM BREVE","🟢 OK")))</f>
        <v/>
      </c>
      <c r="G41" s="39">
        <f>IF(E41&gt;90,"Enviar mensagem no WhatsApp com oferta especial",IF(E41&gt;60,"Perguntar sobre nova ideia de tattoo","Aguardar"))</f>
        <v/>
      </c>
      <c r="H41" s="39" t="n"/>
      <c r="I41" s="1" t="n"/>
      <c r="J41" s="1" t="n"/>
      <c r="K41" s="1" t="n"/>
      <c r="L41" s="1" t="n"/>
      <c r="M41" s="1" t="n"/>
    </row>
    <row r="42" ht="18" customHeight="1">
      <c r="A42" s="1" t="n"/>
      <c r="B42" s="33" t="n"/>
      <c r="C42" s="33" t="n"/>
      <c r="D42" s="33" t="n"/>
      <c r="E42" s="50">
        <f>IF(D42&lt;&gt;"",TODAY()-D42,"")</f>
        <v/>
      </c>
      <c r="F42" s="33">
        <f>IF(E42="","",IF(E42&gt;90,"🔴 ENTRAR EM CONTATO",IF(E42&gt;60,"🟡 VERIFICAR EM BREVE","🟢 OK")))</f>
        <v/>
      </c>
      <c r="G42" s="33">
        <f>IF(E42&gt;90,"Enviar mensagem no WhatsApp com oferta especial",IF(E42&gt;60,"Perguntar sobre nova ideia de tattoo","Aguardar"))</f>
        <v/>
      </c>
      <c r="H42" s="33" t="n"/>
      <c r="I42" s="1" t="n"/>
      <c r="J42" s="1" t="n"/>
      <c r="K42" s="1" t="n"/>
      <c r="L42" s="1" t="n"/>
      <c r="M42" s="1" t="n"/>
    </row>
    <row r="43" ht="18" customHeight="1">
      <c r="A43" s="1" t="n"/>
      <c r="B43" s="39" t="n"/>
      <c r="C43" s="39" t="n"/>
      <c r="D43" s="39" t="n"/>
      <c r="E43" s="49">
        <f>IF(D43&lt;&gt;"",TODAY()-D43,"")</f>
        <v/>
      </c>
      <c r="F43" s="39">
        <f>IF(E43="","",IF(E43&gt;90,"🔴 ENTRAR EM CONTATO",IF(E43&gt;60,"🟡 VERIFICAR EM BREVE","🟢 OK")))</f>
        <v/>
      </c>
      <c r="G43" s="39">
        <f>IF(E43&gt;90,"Enviar mensagem no WhatsApp com oferta especial",IF(E43&gt;60,"Perguntar sobre nova ideia de tattoo","Aguardar"))</f>
        <v/>
      </c>
      <c r="H43" s="39" t="n"/>
      <c r="I43" s="1" t="n"/>
      <c r="J43" s="1" t="n"/>
      <c r="K43" s="1" t="n"/>
      <c r="L43" s="1" t="n"/>
      <c r="M43" s="1" t="n"/>
    </row>
    <row r="44" ht="18" customHeight="1">
      <c r="A44" s="1" t="n"/>
      <c r="B44" s="33" t="n"/>
      <c r="C44" s="33" t="n"/>
      <c r="D44" s="33" t="n"/>
      <c r="E44" s="50">
        <f>IF(D44&lt;&gt;"",TODAY()-D44,"")</f>
        <v/>
      </c>
      <c r="F44" s="33">
        <f>IF(E44="","",IF(E44&gt;90,"🔴 ENTRAR EM CONTATO",IF(E44&gt;60,"🟡 VERIFICAR EM BREVE","🟢 OK")))</f>
        <v/>
      </c>
      <c r="G44" s="33">
        <f>IF(E44&gt;90,"Enviar mensagem no WhatsApp com oferta especial",IF(E44&gt;60,"Perguntar sobre nova ideia de tattoo","Aguardar"))</f>
        <v/>
      </c>
      <c r="H44" s="33" t="n"/>
      <c r="I44" s="1" t="n"/>
      <c r="J44" s="1" t="n"/>
      <c r="K44" s="1" t="n"/>
      <c r="L44" s="1" t="n"/>
      <c r="M44" s="1" t="n"/>
    </row>
    <row r="45" ht="18" customHeight="1">
      <c r="A45" s="1" t="n"/>
      <c r="B45" s="39" t="n"/>
      <c r="C45" s="39" t="n"/>
      <c r="D45" s="39" t="n"/>
      <c r="E45" s="49">
        <f>IF(D45&lt;&gt;"",TODAY()-D45,"")</f>
        <v/>
      </c>
      <c r="F45" s="39">
        <f>IF(E45="","",IF(E45&gt;90,"🔴 ENTRAR EM CONTATO",IF(E45&gt;60,"🟡 VERIFICAR EM BREVE","🟢 OK")))</f>
        <v/>
      </c>
      <c r="G45" s="39">
        <f>IF(E45&gt;90,"Enviar mensagem no WhatsApp com oferta especial",IF(E45&gt;60,"Perguntar sobre nova ideia de tattoo","Aguardar"))</f>
        <v/>
      </c>
      <c r="H45" s="39" t="n"/>
      <c r="I45" s="1" t="n"/>
      <c r="J45" s="1" t="n"/>
      <c r="K45" s="1" t="n"/>
      <c r="L45" s="1" t="n"/>
      <c r="M45" s="1" t="n"/>
    </row>
    <row r="46" ht="18" customHeight="1">
      <c r="A46" s="1" t="n"/>
      <c r="B46" s="33" t="n"/>
      <c r="C46" s="33" t="n"/>
      <c r="D46" s="33" t="n"/>
      <c r="E46" s="50">
        <f>IF(D46&lt;&gt;"",TODAY()-D46,"")</f>
        <v/>
      </c>
      <c r="F46" s="33">
        <f>IF(E46="","",IF(E46&gt;90,"🔴 ENTRAR EM CONTATO",IF(E46&gt;60,"🟡 VERIFICAR EM BREVE","🟢 OK")))</f>
        <v/>
      </c>
      <c r="G46" s="33">
        <f>IF(E46&gt;90,"Enviar mensagem no WhatsApp com oferta especial",IF(E46&gt;60,"Perguntar sobre nova ideia de tattoo","Aguardar"))</f>
        <v/>
      </c>
      <c r="H46" s="33" t="n"/>
      <c r="I46" s="1" t="n"/>
      <c r="J46" s="1" t="n"/>
      <c r="K46" s="1" t="n"/>
      <c r="L46" s="1" t="n"/>
      <c r="M46" s="1" t="n"/>
    </row>
    <row r="47" ht="18" customHeight="1">
      <c r="A47" s="1" t="n"/>
      <c r="B47" s="39" t="n"/>
      <c r="C47" s="39" t="n"/>
      <c r="D47" s="39" t="n"/>
      <c r="E47" s="49">
        <f>IF(D47&lt;&gt;"",TODAY()-D47,"")</f>
        <v/>
      </c>
      <c r="F47" s="39">
        <f>IF(E47="","",IF(E47&gt;90,"🔴 ENTRAR EM CONTATO",IF(E47&gt;60,"🟡 VERIFICAR EM BREVE","🟢 OK")))</f>
        <v/>
      </c>
      <c r="G47" s="39">
        <f>IF(E47&gt;90,"Enviar mensagem no WhatsApp com oferta especial",IF(E47&gt;60,"Perguntar sobre nova ideia de tattoo","Aguardar"))</f>
        <v/>
      </c>
      <c r="H47" s="39" t="n"/>
      <c r="I47" s="1" t="n"/>
      <c r="J47" s="1" t="n"/>
      <c r="K47" s="1" t="n"/>
      <c r="L47" s="1" t="n"/>
      <c r="M47" s="1" t="n"/>
    </row>
    <row r="48" ht="18" customHeight="1">
      <c r="A48" s="1" t="n"/>
      <c r="B48" s="33" t="n"/>
      <c r="C48" s="33" t="n"/>
      <c r="D48" s="33" t="n"/>
      <c r="E48" s="50">
        <f>IF(D48&lt;&gt;"",TODAY()-D48,"")</f>
        <v/>
      </c>
      <c r="F48" s="33">
        <f>IF(E48="","",IF(E48&gt;90,"🔴 ENTRAR EM CONTATO",IF(E48&gt;60,"🟡 VERIFICAR EM BREVE","🟢 OK")))</f>
        <v/>
      </c>
      <c r="G48" s="33">
        <f>IF(E48&gt;90,"Enviar mensagem no WhatsApp com oferta especial",IF(E48&gt;60,"Perguntar sobre nova ideia de tattoo","Aguardar"))</f>
        <v/>
      </c>
      <c r="H48" s="33" t="n"/>
      <c r="I48" s="1" t="n"/>
      <c r="J48" s="1" t="n"/>
      <c r="K48" s="1" t="n"/>
      <c r="L48" s="1" t="n"/>
      <c r="M48" s="1" t="n"/>
    </row>
    <row r="49" ht="18" customHeight="1">
      <c r="A49" s="1" t="n"/>
      <c r="B49" s="39" t="n"/>
      <c r="C49" s="39" t="n"/>
      <c r="D49" s="39" t="n"/>
      <c r="E49" s="49">
        <f>IF(D49&lt;&gt;"",TODAY()-D49,"")</f>
        <v/>
      </c>
      <c r="F49" s="39">
        <f>IF(E49="","",IF(E49&gt;90,"🔴 ENTRAR EM CONTATO",IF(E49&gt;60,"🟡 VERIFICAR EM BREVE","🟢 OK")))</f>
        <v/>
      </c>
      <c r="G49" s="39">
        <f>IF(E49&gt;90,"Enviar mensagem no WhatsApp com oferta especial",IF(E49&gt;60,"Perguntar sobre nova ideia de tattoo","Aguardar"))</f>
        <v/>
      </c>
      <c r="H49" s="39" t="n"/>
      <c r="I49" s="1" t="n"/>
      <c r="J49" s="1" t="n"/>
      <c r="K49" s="1" t="n"/>
      <c r="L49" s="1" t="n"/>
      <c r="M49" s="1" t="n"/>
    </row>
    <row r="50" ht="18" customHeight="1">
      <c r="A50" s="1" t="n"/>
      <c r="B50" s="33" t="n"/>
      <c r="C50" s="33" t="n"/>
      <c r="D50" s="33" t="n"/>
      <c r="E50" s="50">
        <f>IF(D50&lt;&gt;"",TODAY()-D50,"")</f>
        <v/>
      </c>
      <c r="F50" s="33">
        <f>IF(E50="","",IF(E50&gt;90,"🔴 ENTRAR EM CONTATO",IF(E50&gt;60,"🟡 VERIFICAR EM BREVE","🟢 OK")))</f>
        <v/>
      </c>
      <c r="G50" s="33">
        <f>IF(E50&gt;90,"Enviar mensagem no WhatsApp com oferta especial",IF(E50&gt;60,"Perguntar sobre nova ideia de tattoo","Aguardar"))</f>
        <v/>
      </c>
      <c r="H50" s="33" t="n"/>
      <c r="I50" s="1" t="n"/>
      <c r="J50" s="1" t="n"/>
      <c r="K50" s="1" t="n"/>
      <c r="L50" s="1" t="n"/>
      <c r="M50" s="1" t="n"/>
    </row>
    <row r="51" ht="18" customHeight="1">
      <c r="A51" s="1" t="n"/>
      <c r="B51" s="39" t="n"/>
      <c r="C51" s="39" t="n"/>
      <c r="D51" s="39" t="n"/>
      <c r="E51" s="49">
        <f>IF(D51&lt;&gt;"",TODAY()-D51,"")</f>
        <v/>
      </c>
      <c r="F51" s="39">
        <f>IF(E51="","",IF(E51&gt;90,"🔴 ENTRAR EM CONTATO",IF(E51&gt;60,"🟡 VERIFICAR EM BREVE","🟢 OK")))</f>
        <v/>
      </c>
      <c r="G51" s="39">
        <f>IF(E51&gt;90,"Enviar mensagem no WhatsApp com oferta especial",IF(E51&gt;60,"Perguntar sobre nova ideia de tattoo","Aguardar"))</f>
        <v/>
      </c>
      <c r="H51" s="39" t="n"/>
      <c r="I51" s="1" t="n"/>
      <c r="J51" s="1" t="n"/>
      <c r="K51" s="1" t="n"/>
      <c r="L51" s="1" t="n"/>
      <c r="M51" s="1" t="n"/>
    </row>
    <row r="52" ht="18" customHeight="1">
      <c r="A52" s="1" t="n"/>
      <c r="B52" s="33" t="n"/>
      <c r="C52" s="33" t="n"/>
      <c r="D52" s="33" t="n"/>
      <c r="E52" s="50">
        <f>IF(D52&lt;&gt;"",TODAY()-D52,"")</f>
        <v/>
      </c>
      <c r="F52" s="33">
        <f>IF(E52="","",IF(E52&gt;90,"🔴 ENTRAR EM CONTATO",IF(E52&gt;60,"🟡 VERIFICAR EM BREVE","🟢 OK")))</f>
        <v/>
      </c>
      <c r="G52" s="33">
        <f>IF(E52&gt;90,"Enviar mensagem no WhatsApp com oferta especial",IF(E52&gt;60,"Perguntar sobre nova ideia de tattoo","Aguardar"))</f>
        <v/>
      </c>
      <c r="H52" s="33" t="n"/>
      <c r="I52" s="1" t="n"/>
      <c r="J52" s="1" t="n"/>
      <c r="K52" s="1" t="n"/>
      <c r="L52" s="1" t="n"/>
      <c r="M52" s="1" t="n"/>
    </row>
    <row r="53" ht="18" customHeight="1">
      <c r="A53" s="1" t="n"/>
      <c r="B53" s="39" t="n"/>
      <c r="C53" s="39" t="n"/>
      <c r="D53" s="39" t="n"/>
      <c r="E53" s="49">
        <f>IF(D53&lt;&gt;"",TODAY()-D53,"")</f>
        <v/>
      </c>
      <c r="F53" s="39">
        <f>IF(E53="","",IF(E53&gt;90,"🔴 ENTRAR EM CONTATO",IF(E53&gt;60,"🟡 VERIFICAR EM BREVE","🟢 OK")))</f>
        <v/>
      </c>
      <c r="G53" s="39">
        <f>IF(E53&gt;90,"Enviar mensagem no WhatsApp com oferta especial",IF(E53&gt;60,"Perguntar sobre nova ideia de tattoo","Aguardar"))</f>
        <v/>
      </c>
      <c r="H53" s="39" t="n"/>
      <c r="I53" s="1" t="n"/>
      <c r="J53" s="1" t="n"/>
      <c r="K53" s="1" t="n"/>
      <c r="L53" s="1" t="n"/>
      <c r="M53" s="1" t="n"/>
    </row>
    <row r="54" ht="18" customHeight="1">
      <c r="A54" s="1" t="n"/>
      <c r="B54" s="33" t="n"/>
      <c r="C54" s="33" t="n"/>
      <c r="D54" s="33" t="n"/>
      <c r="E54" s="50">
        <f>IF(D54&lt;&gt;"",TODAY()-D54,"")</f>
        <v/>
      </c>
      <c r="F54" s="33">
        <f>IF(E54="","",IF(E54&gt;90,"🔴 ENTRAR EM CONTATO",IF(E54&gt;60,"🟡 VERIFICAR EM BREVE","🟢 OK")))</f>
        <v/>
      </c>
      <c r="G54" s="33">
        <f>IF(E54&gt;90,"Enviar mensagem no WhatsApp com oferta especial",IF(E54&gt;60,"Perguntar sobre nova ideia de tattoo","Aguardar"))</f>
        <v/>
      </c>
      <c r="H54" s="33" t="n"/>
      <c r="I54" s="1" t="n"/>
      <c r="J54" s="1" t="n"/>
      <c r="K54" s="1" t="n"/>
      <c r="L54" s="1" t="n"/>
      <c r="M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</row>
  </sheetData>
  <mergeCells count="1">
    <mergeCell ref="B2:M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7AE60"/>
    <outlinePr summaryBelow="1" summaryRight="1"/>
    <pageSetUpPr/>
  </sheetPr>
  <dimension ref="A1:S1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28" customWidth="1" min="3" max="3"/>
    <col width="12" customWidth="1" min="4" max="4"/>
    <col width="14" customWidth="1" min="5" max="5"/>
    <col width="16" customWidth="1" min="6" max="6"/>
    <col width="14" customWidth="1" min="7" max="7"/>
    <col width="14" customWidth="1" min="8" max="8"/>
    <col width="16" customWidth="1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35" customHeight="1">
      <c r="A2" s="1" t="n"/>
      <c r="B2" s="37" t="inlineStr">
        <is>
          <t>💰  FINANCEIRO PRO — CENTRAL TATTOO</t>
        </is>
      </c>
      <c r="S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26" customHeight="1">
      <c r="A5" s="1" t="n"/>
      <c r="B5" s="51" t="inlineStr">
        <is>
          <t>FATURAMENTO BRUTO</t>
        </is>
      </c>
      <c r="H5" s="52">
        <f>SUMIF(C10:C200,"Receita",D10:D200)</f>
        <v/>
      </c>
      <c r="M5" s="1" t="n"/>
      <c r="N5" s="1" t="n"/>
      <c r="O5" s="1" t="n"/>
      <c r="P5" s="1" t="n"/>
      <c r="Q5" s="1" t="n"/>
      <c r="R5" s="1" t="n"/>
      <c r="S5" s="1" t="n"/>
    </row>
    <row r="6" ht="26" customHeight="1">
      <c r="A6" s="1" t="n"/>
      <c r="B6" s="51" t="inlineStr">
        <is>
          <t>(-) DESPESAS TOTAIS</t>
        </is>
      </c>
      <c r="H6" s="53">
        <f>SUMIF(C10:C200,"Despesa",D10:D200)</f>
        <v/>
      </c>
      <c r="M6" s="1" t="n"/>
      <c r="N6" s="1" t="n"/>
      <c r="O6" s="1" t="n"/>
      <c r="P6" s="1" t="n"/>
      <c r="Q6" s="1" t="n"/>
      <c r="R6" s="1" t="n"/>
      <c r="S6" s="1" t="n"/>
    </row>
    <row r="7" ht="26" customHeight="1">
      <c r="A7" s="1" t="n"/>
      <c r="B7" s="51" t="inlineStr">
        <is>
          <t>(=) LUCRO LÍQUIDO</t>
        </is>
      </c>
      <c r="H7" s="54">
        <f>B5-B6</f>
        <v/>
      </c>
      <c r="M7" s="1" t="n"/>
      <c r="N7" s="1" t="n"/>
      <c r="O7" s="1" t="n"/>
      <c r="P7" s="1" t="n"/>
      <c r="Q7" s="1" t="n"/>
      <c r="R7" s="1" t="n"/>
      <c r="S7" s="1" t="n"/>
    </row>
    <row r="8" ht="26" customHeight="1">
      <c r="A8" s="1" t="n"/>
      <c r="B8" s="51" t="inlineStr">
        <is>
          <t>MARGEM DE LUCRO</t>
        </is>
      </c>
      <c r="H8" s="55">
        <f>IFERROR(B7/B5,0)</f>
        <v/>
      </c>
      <c r="M8" s="1" t="n"/>
      <c r="N8" s="1" t="n"/>
      <c r="O8" s="1" t="n"/>
      <c r="P8" s="1" t="n"/>
      <c r="Q8" s="1" t="n"/>
      <c r="R8" s="1" t="n"/>
      <c r="S8" s="1" t="n"/>
    </row>
    <row r="9" ht="26" customHeight="1">
      <c r="A9" s="1" t="n"/>
      <c r="B9" s="51" t="inlineStr">
        <is>
          <t>CUSTO POR SESSÃO</t>
        </is>
      </c>
      <c r="H9" s="56">
        <f>IFERROR(B6/COUNTA(Agenda!B5:B104),0)</f>
        <v/>
      </c>
      <c r="M9" s="1" t="n"/>
      <c r="N9" s="1" t="n"/>
      <c r="O9" s="1" t="n"/>
      <c r="P9" s="1" t="n"/>
      <c r="Q9" s="1" t="n"/>
      <c r="R9" s="1" t="n"/>
      <c r="S9" s="1" t="n"/>
    </row>
    <row r="10" ht="8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</row>
    <row r="11" ht="20" customHeight="1">
      <c r="A11" s="1" t="n"/>
      <c r="B11" s="31" t="inlineStr">
        <is>
          <t>📋  LANÇAMENTOS FINANCEIROS</t>
        </is>
      </c>
      <c r="R11" s="1" t="n"/>
      <c r="S11" s="1" t="n"/>
    </row>
    <row r="12" ht="22" customHeight="1">
      <c r="A12" s="1" t="n"/>
      <c r="B12" s="38" t="inlineStr">
        <is>
          <t>DATA</t>
        </is>
      </c>
      <c r="C12" s="38" t="inlineStr">
        <is>
          <t>DESCRIÇÃO</t>
        </is>
      </c>
      <c r="D12" s="38" t="inlineStr">
        <is>
          <t>TIPO</t>
        </is>
      </c>
      <c r="E12" s="38" t="inlineStr">
        <is>
          <t>VALOR (R$)</t>
        </is>
      </c>
      <c r="F12" s="38" t="inlineStr">
        <is>
          <t>CATEGORIA</t>
        </is>
      </c>
      <c r="G12" s="38" t="inlineStr">
        <is>
          <t>FORMA PGTO</t>
        </is>
      </c>
      <c r="H12" s="38" t="inlineStr">
        <is>
          <t>REFERÊNCIA</t>
        </is>
      </c>
      <c r="I12" s="38" t="inlineStr">
        <is>
          <t>OBS</t>
        </is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</row>
    <row r="13" ht="18" customHeight="1">
      <c r="A13" s="1" t="n"/>
      <c r="B13" s="39" t="n"/>
      <c r="C13" s="39" t="n"/>
      <c r="D13" s="39" t="n"/>
      <c r="E13" s="40" t="n"/>
      <c r="F13" s="39" t="n"/>
      <c r="G13" s="39" t="n"/>
      <c r="H13" s="39" t="n"/>
      <c r="I13" s="39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</row>
    <row r="14" ht="18" customHeight="1">
      <c r="A14" s="1" t="n"/>
      <c r="B14" s="33" t="n"/>
      <c r="C14" s="33" t="n"/>
      <c r="D14" s="33" t="n"/>
      <c r="E14" s="42" t="n"/>
      <c r="F14" s="33" t="n"/>
      <c r="G14" s="33" t="n"/>
      <c r="H14" s="33" t="n"/>
      <c r="I14" s="33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</row>
    <row r="15" ht="18" customHeight="1">
      <c r="A15" s="1" t="n"/>
      <c r="B15" s="39" t="n"/>
      <c r="C15" s="39" t="n"/>
      <c r="D15" s="39" t="n"/>
      <c r="E15" s="40" t="n"/>
      <c r="F15" s="39" t="n"/>
      <c r="G15" s="39" t="n"/>
      <c r="H15" s="39" t="n"/>
      <c r="I15" s="3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</row>
    <row r="16" ht="18" customHeight="1">
      <c r="A16" s="1" t="n"/>
      <c r="B16" s="33" t="n"/>
      <c r="C16" s="33" t="n"/>
      <c r="D16" s="33" t="n"/>
      <c r="E16" s="42" t="n"/>
      <c r="F16" s="33" t="n"/>
      <c r="G16" s="33" t="n"/>
      <c r="H16" s="33" t="n"/>
      <c r="I16" s="33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</row>
    <row r="17" ht="18" customHeight="1">
      <c r="A17" s="1" t="n"/>
      <c r="B17" s="39" t="n"/>
      <c r="C17" s="39" t="n"/>
      <c r="D17" s="39" t="n"/>
      <c r="E17" s="40" t="n"/>
      <c r="F17" s="39" t="n"/>
      <c r="G17" s="39" t="n"/>
      <c r="H17" s="39" t="n"/>
      <c r="I17" s="3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</row>
    <row r="18" ht="18" customHeight="1">
      <c r="A18" s="1" t="n"/>
      <c r="B18" s="33" t="n"/>
      <c r="C18" s="33" t="n"/>
      <c r="D18" s="33" t="n"/>
      <c r="E18" s="42" t="n"/>
      <c r="F18" s="33" t="n"/>
      <c r="G18" s="33" t="n"/>
      <c r="H18" s="33" t="n"/>
      <c r="I18" s="33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</row>
    <row r="19" ht="18" customHeight="1">
      <c r="A19" s="1" t="n"/>
      <c r="B19" s="39" t="n"/>
      <c r="C19" s="39" t="n"/>
      <c r="D19" s="39" t="n"/>
      <c r="E19" s="40" t="n"/>
      <c r="F19" s="39" t="n"/>
      <c r="G19" s="39" t="n"/>
      <c r="H19" s="39" t="n"/>
      <c r="I19" s="39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</row>
    <row r="20" ht="18" customHeight="1">
      <c r="A20" s="1" t="n"/>
      <c r="B20" s="33" t="n"/>
      <c r="C20" s="33" t="n"/>
      <c r="D20" s="33" t="n"/>
      <c r="E20" s="42" t="n"/>
      <c r="F20" s="33" t="n"/>
      <c r="G20" s="33" t="n"/>
      <c r="H20" s="33" t="n"/>
      <c r="I20" s="33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</row>
    <row r="21" ht="18" customHeight="1">
      <c r="A21" s="1" t="n"/>
      <c r="B21" s="39" t="n"/>
      <c r="C21" s="39" t="n"/>
      <c r="D21" s="39" t="n"/>
      <c r="E21" s="40" t="n"/>
      <c r="F21" s="39" t="n"/>
      <c r="G21" s="39" t="n"/>
      <c r="H21" s="39" t="n"/>
      <c r="I21" s="39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</row>
    <row r="22" ht="18" customHeight="1">
      <c r="A22" s="1" t="n"/>
      <c r="B22" s="33" t="n"/>
      <c r="C22" s="33" t="n"/>
      <c r="D22" s="33" t="n"/>
      <c r="E22" s="42" t="n"/>
      <c r="F22" s="33" t="n"/>
      <c r="G22" s="33" t="n"/>
      <c r="H22" s="33" t="n"/>
      <c r="I22" s="33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</row>
    <row r="23" ht="18" customHeight="1">
      <c r="A23" s="1" t="n"/>
      <c r="B23" s="39" t="n"/>
      <c r="C23" s="39" t="n"/>
      <c r="D23" s="39" t="n"/>
      <c r="E23" s="40" t="n"/>
      <c r="F23" s="39" t="n"/>
      <c r="G23" s="39" t="n"/>
      <c r="H23" s="39" t="n"/>
      <c r="I23" s="39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</row>
    <row r="24" ht="18" customHeight="1">
      <c r="A24" s="1" t="n"/>
      <c r="B24" s="33" t="n"/>
      <c r="C24" s="33" t="n"/>
      <c r="D24" s="33" t="n"/>
      <c r="E24" s="42" t="n"/>
      <c r="F24" s="33" t="n"/>
      <c r="G24" s="33" t="n"/>
      <c r="H24" s="33" t="n"/>
      <c r="I24" s="33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</row>
    <row r="25" ht="18" customHeight="1">
      <c r="A25" s="1" t="n"/>
      <c r="B25" s="39" t="n"/>
      <c r="C25" s="39" t="n"/>
      <c r="D25" s="39" t="n"/>
      <c r="E25" s="40" t="n"/>
      <c r="F25" s="39" t="n"/>
      <c r="G25" s="39" t="n"/>
      <c r="H25" s="39" t="n"/>
      <c r="I25" s="39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</row>
    <row r="26" ht="18" customHeight="1">
      <c r="A26" s="1" t="n"/>
      <c r="B26" s="33" t="n"/>
      <c r="C26" s="33" t="n"/>
      <c r="D26" s="33" t="n"/>
      <c r="E26" s="42" t="n"/>
      <c r="F26" s="33" t="n"/>
      <c r="G26" s="33" t="n"/>
      <c r="H26" s="33" t="n"/>
      <c r="I26" s="33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</row>
    <row r="27" ht="18" customHeight="1">
      <c r="A27" s="1" t="n"/>
      <c r="B27" s="39" t="n"/>
      <c r="C27" s="39" t="n"/>
      <c r="D27" s="39" t="n"/>
      <c r="E27" s="40" t="n"/>
      <c r="F27" s="39" t="n"/>
      <c r="G27" s="39" t="n"/>
      <c r="H27" s="39" t="n"/>
      <c r="I27" s="39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</row>
    <row r="28" ht="18" customHeight="1">
      <c r="A28" s="1" t="n"/>
      <c r="B28" s="33" t="n"/>
      <c r="C28" s="33" t="n"/>
      <c r="D28" s="33" t="n"/>
      <c r="E28" s="42" t="n"/>
      <c r="F28" s="33" t="n"/>
      <c r="G28" s="33" t="n"/>
      <c r="H28" s="33" t="n"/>
      <c r="I28" s="33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</row>
    <row r="29" ht="18" customHeight="1">
      <c r="A29" s="1" t="n"/>
      <c r="B29" s="39" t="n"/>
      <c r="C29" s="39" t="n"/>
      <c r="D29" s="39" t="n"/>
      <c r="E29" s="40" t="n"/>
      <c r="F29" s="39" t="n"/>
      <c r="G29" s="39" t="n"/>
      <c r="H29" s="39" t="n"/>
      <c r="I29" s="39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</row>
    <row r="30" ht="18" customHeight="1">
      <c r="A30" s="1" t="n"/>
      <c r="B30" s="33" t="n"/>
      <c r="C30" s="33" t="n"/>
      <c r="D30" s="33" t="n"/>
      <c r="E30" s="42" t="n"/>
      <c r="F30" s="33" t="n"/>
      <c r="G30" s="33" t="n"/>
      <c r="H30" s="33" t="n"/>
      <c r="I30" s="33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</row>
    <row r="31" ht="18" customHeight="1">
      <c r="A31" s="1" t="n"/>
      <c r="B31" s="39" t="n"/>
      <c r="C31" s="39" t="n"/>
      <c r="D31" s="39" t="n"/>
      <c r="E31" s="40" t="n"/>
      <c r="F31" s="39" t="n"/>
      <c r="G31" s="39" t="n"/>
      <c r="H31" s="39" t="n"/>
      <c r="I31" s="39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</row>
    <row r="32" ht="18" customHeight="1">
      <c r="A32" s="1" t="n"/>
      <c r="B32" s="33" t="n"/>
      <c r="C32" s="33" t="n"/>
      <c r="D32" s="33" t="n"/>
      <c r="E32" s="42" t="n"/>
      <c r="F32" s="33" t="n"/>
      <c r="G32" s="33" t="n"/>
      <c r="H32" s="33" t="n"/>
      <c r="I32" s="33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</row>
    <row r="33" ht="18" customHeight="1">
      <c r="A33" s="1" t="n"/>
      <c r="B33" s="39" t="n"/>
      <c r="C33" s="39" t="n"/>
      <c r="D33" s="39" t="n"/>
      <c r="E33" s="40" t="n"/>
      <c r="F33" s="39" t="n"/>
      <c r="G33" s="39" t="n"/>
      <c r="H33" s="39" t="n"/>
      <c r="I33" s="39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</row>
    <row r="34" ht="18" customHeight="1">
      <c r="A34" s="1" t="n"/>
      <c r="B34" s="33" t="n"/>
      <c r="C34" s="33" t="n"/>
      <c r="D34" s="33" t="n"/>
      <c r="E34" s="42" t="n"/>
      <c r="F34" s="33" t="n"/>
      <c r="G34" s="33" t="n"/>
      <c r="H34" s="33" t="n"/>
      <c r="I34" s="33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</row>
    <row r="35" ht="18" customHeight="1">
      <c r="A35" s="1" t="n"/>
      <c r="B35" s="39" t="n"/>
      <c r="C35" s="39" t="n"/>
      <c r="D35" s="39" t="n"/>
      <c r="E35" s="40" t="n"/>
      <c r="F35" s="39" t="n"/>
      <c r="G35" s="39" t="n"/>
      <c r="H35" s="39" t="n"/>
      <c r="I35" s="39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</row>
    <row r="36" ht="18" customHeight="1">
      <c r="A36" s="1" t="n"/>
      <c r="B36" s="33" t="n"/>
      <c r="C36" s="33" t="n"/>
      <c r="D36" s="33" t="n"/>
      <c r="E36" s="42" t="n"/>
      <c r="F36" s="33" t="n"/>
      <c r="G36" s="33" t="n"/>
      <c r="H36" s="33" t="n"/>
      <c r="I36" s="33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</row>
    <row r="37" ht="18" customHeight="1">
      <c r="A37" s="1" t="n"/>
      <c r="B37" s="39" t="n"/>
      <c r="C37" s="39" t="n"/>
      <c r="D37" s="39" t="n"/>
      <c r="E37" s="40" t="n"/>
      <c r="F37" s="39" t="n"/>
      <c r="G37" s="39" t="n"/>
      <c r="H37" s="39" t="n"/>
      <c r="I37" s="39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</row>
    <row r="38" ht="18" customHeight="1">
      <c r="A38" s="1" t="n"/>
      <c r="B38" s="33" t="n"/>
      <c r="C38" s="33" t="n"/>
      <c r="D38" s="33" t="n"/>
      <c r="E38" s="42" t="n"/>
      <c r="F38" s="33" t="n"/>
      <c r="G38" s="33" t="n"/>
      <c r="H38" s="33" t="n"/>
      <c r="I38" s="33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</row>
    <row r="39" ht="18" customHeight="1">
      <c r="A39" s="1" t="n"/>
      <c r="B39" s="39" t="n"/>
      <c r="C39" s="39" t="n"/>
      <c r="D39" s="39" t="n"/>
      <c r="E39" s="40" t="n"/>
      <c r="F39" s="39" t="n"/>
      <c r="G39" s="39" t="n"/>
      <c r="H39" s="39" t="n"/>
      <c r="I39" s="39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</row>
    <row r="40" ht="18" customHeight="1">
      <c r="A40" s="1" t="n"/>
      <c r="B40" s="33" t="n"/>
      <c r="C40" s="33" t="n"/>
      <c r="D40" s="33" t="n"/>
      <c r="E40" s="42" t="n"/>
      <c r="F40" s="33" t="n"/>
      <c r="G40" s="33" t="n"/>
      <c r="H40" s="33" t="n"/>
      <c r="I40" s="33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</row>
    <row r="41" ht="18" customHeight="1">
      <c r="A41" s="1" t="n"/>
      <c r="B41" s="39" t="n"/>
      <c r="C41" s="39" t="n"/>
      <c r="D41" s="39" t="n"/>
      <c r="E41" s="40" t="n"/>
      <c r="F41" s="39" t="n"/>
      <c r="G41" s="39" t="n"/>
      <c r="H41" s="39" t="n"/>
      <c r="I41" s="39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</row>
    <row r="42" ht="18" customHeight="1">
      <c r="A42" s="1" t="n"/>
      <c r="B42" s="33" t="n"/>
      <c r="C42" s="33" t="n"/>
      <c r="D42" s="33" t="n"/>
      <c r="E42" s="42" t="n"/>
      <c r="F42" s="33" t="n"/>
      <c r="G42" s="33" t="n"/>
      <c r="H42" s="33" t="n"/>
      <c r="I42" s="33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</row>
    <row r="43" ht="18" customHeight="1">
      <c r="A43" s="1" t="n"/>
      <c r="B43" s="39" t="n"/>
      <c r="C43" s="39" t="n"/>
      <c r="D43" s="39" t="n"/>
      <c r="E43" s="40" t="n"/>
      <c r="F43" s="39" t="n"/>
      <c r="G43" s="39" t="n"/>
      <c r="H43" s="39" t="n"/>
      <c r="I43" s="39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</row>
    <row r="44" ht="18" customHeight="1">
      <c r="A44" s="1" t="n"/>
      <c r="B44" s="33" t="n"/>
      <c r="C44" s="33" t="n"/>
      <c r="D44" s="33" t="n"/>
      <c r="E44" s="42" t="n"/>
      <c r="F44" s="33" t="n"/>
      <c r="G44" s="33" t="n"/>
      <c r="H44" s="33" t="n"/>
      <c r="I44" s="33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</row>
    <row r="45" ht="18" customHeight="1">
      <c r="A45" s="1" t="n"/>
      <c r="B45" s="39" t="n"/>
      <c r="C45" s="39" t="n"/>
      <c r="D45" s="39" t="n"/>
      <c r="E45" s="40" t="n"/>
      <c r="F45" s="39" t="n"/>
      <c r="G45" s="39" t="n"/>
      <c r="H45" s="39" t="n"/>
      <c r="I45" s="39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</row>
    <row r="46" ht="18" customHeight="1">
      <c r="A46" s="1" t="n"/>
      <c r="B46" s="33" t="n"/>
      <c r="C46" s="33" t="n"/>
      <c r="D46" s="33" t="n"/>
      <c r="E46" s="42" t="n"/>
      <c r="F46" s="33" t="n"/>
      <c r="G46" s="33" t="n"/>
      <c r="H46" s="33" t="n"/>
      <c r="I46" s="33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</row>
    <row r="47" ht="18" customHeight="1">
      <c r="A47" s="1" t="n"/>
      <c r="B47" s="39" t="n"/>
      <c r="C47" s="39" t="n"/>
      <c r="D47" s="39" t="n"/>
      <c r="E47" s="40" t="n"/>
      <c r="F47" s="39" t="n"/>
      <c r="G47" s="39" t="n"/>
      <c r="H47" s="39" t="n"/>
      <c r="I47" s="39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</row>
    <row r="48" ht="18" customHeight="1">
      <c r="A48" s="1" t="n"/>
      <c r="B48" s="33" t="n"/>
      <c r="C48" s="33" t="n"/>
      <c r="D48" s="33" t="n"/>
      <c r="E48" s="42" t="n"/>
      <c r="F48" s="33" t="n"/>
      <c r="G48" s="33" t="n"/>
      <c r="H48" s="33" t="n"/>
      <c r="I48" s="33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</row>
    <row r="49" ht="18" customHeight="1">
      <c r="A49" s="1" t="n"/>
      <c r="B49" s="39" t="n"/>
      <c r="C49" s="39" t="n"/>
      <c r="D49" s="39" t="n"/>
      <c r="E49" s="40" t="n"/>
      <c r="F49" s="39" t="n"/>
      <c r="G49" s="39" t="n"/>
      <c r="H49" s="39" t="n"/>
      <c r="I49" s="39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</row>
    <row r="50" ht="18" customHeight="1">
      <c r="A50" s="1" t="n"/>
      <c r="B50" s="33" t="n"/>
      <c r="C50" s="33" t="n"/>
      <c r="D50" s="33" t="n"/>
      <c r="E50" s="42" t="n"/>
      <c r="F50" s="33" t="n"/>
      <c r="G50" s="33" t="n"/>
      <c r="H50" s="33" t="n"/>
      <c r="I50" s="33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</row>
    <row r="51" ht="18" customHeight="1">
      <c r="A51" s="1" t="n"/>
      <c r="B51" s="39" t="n"/>
      <c r="C51" s="39" t="n"/>
      <c r="D51" s="39" t="n"/>
      <c r="E51" s="40" t="n"/>
      <c r="F51" s="39" t="n"/>
      <c r="G51" s="39" t="n"/>
      <c r="H51" s="39" t="n"/>
      <c r="I51" s="39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</row>
    <row r="52" ht="18" customHeight="1">
      <c r="A52" s="1" t="n"/>
      <c r="B52" s="33" t="n"/>
      <c r="C52" s="33" t="n"/>
      <c r="D52" s="33" t="n"/>
      <c r="E52" s="42" t="n"/>
      <c r="F52" s="33" t="n"/>
      <c r="G52" s="33" t="n"/>
      <c r="H52" s="33" t="n"/>
      <c r="I52" s="33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</row>
    <row r="53" ht="18" customHeight="1">
      <c r="A53" s="1" t="n"/>
      <c r="B53" s="39" t="n"/>
      <c r="C53" s="39" t="n"/>
      <c r="D53" s="39" t="n"/>
      <c r="E53" s="40" t="n"/>
      <c r="F53" s="39" t="n"/>
      <c r="G53" s="39" t="n"/>
      <c r="H53" s="39" t="n"/>
      <c r="I53" s="39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</row>
    <row r="54" ht="18" customHeight="1">
      <c r="A54" s="1" t="n"/>
      <c r="B54" s="33" t="n"/>
      <c r="C54" s="33" t="n"/>
      <c r="D54" s="33" t="n"/>
      <c r="E54" s="42" t="n"/>
      <c r="F54" s="33" t="n"/>
      <c r="G54" s="33" t="n"/>
      <c r="H54" s="33" t="n"/>
      <c r="I54" s="33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</row>
    <row r="55" ht="18" customHeight="1">
      <c r="A55" s="1" t="n"/>
      <c r="B55" s="39" t="n"/>
      <c r="C55" s="39" t="n"/>
      <c r="D55" s="39" t="n"/>
      <c r="E55" s="40" t="n"/>
      <c r="F55" s="39" t="n"/>
      <c r="G55" s="39" t="n"/>
      <c r="H55" s="39" t="n"/>
      <c r="I55" s="39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</row>
    <row r="56" ht="18" customHeight="1">
      <c r="A56" s="1" t="n"/>
      <c r="B56" s="33" t="n"/>
      <c r="C56" s="33" t="n"/>
      <c r="D56" s="33" t="n"/>
      <c r="E56" s="42" t="n"/>
      <c r="F56" s="33" t="n"/>
      <c r="G56" s="33" t="n"/>
      <c r="H56" s="33" t="n"/>
      <c r="I56" s="33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</row>
    <row r="57" ht="18" customHeight="1">
      <c r="A57" s="1" t="n"/>
      <c r="B57" s="39" t="n"/>
      <c r="C57" s="39" t="n"/>
      <c r="D57" s="39" t="n"/>
      <c r="E57" s="40" t="n"/>
      <c r="F57" s="39" t="n"/>
      <c r="G57" s="39" t="n"/>
      <c r="H57" s="39" t="n"/>
      <c r="I57" s="39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</row>
    <row r="58" ht="18" customHeight="1">
      <c r="A58" s="1" t="n"/>
      <c r="B58" s="33" t="n"/>
      <c r="C58" s="33" t="n"/>
      <c r="D58" s="33" t="n"/>
      <c r="E58" s="42" t="n"/>
      <c r="F58" s="33" t="n"/>
      <c r="G58" s="33" t="n"/>
      <c r="H58" s="33" t="n"/>
      <c r="I58" s="33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</row>
    <row r="59" ht="18" customHeight="1">
      <c r="A59" s="1" t="n"/>
      <c r="B59" s="39" t="n"/>
      <c r="C59" s="39" t="n"/>
      <c r="D59" s="39" t="n"/>
      <c r="E59" s="40" t="n"/>
      <c r="F59" s="39" t="n"/>
      <c r="G59" s="39" t="n"/>
      <c r="H59" s="39" t="n"/>
      <c r="I59" s="39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</row>
    <row r="60" ht="18" customHeight="1">
      <c r="A60" s="1" t="n"/>
      <c r="B60" s="33" t="n"/>
      <c r="C60" s="33" t="n"/>
      <c r="D60" s="33" t="n"/>
      <c r="E60" s="42" t="n"/>
      <c r="F60" s="33" t="n"/>
      <c r="G60" s="33" t="n"/>
      <c r="H60" s="33" t="n"/>
      <c r="I60" s="33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</row>
    <row r="61" ht="18" customHeight="1">
      <c r="A61" s="1" t="n"/>
      <c r="B61" s="39" t="n"/>
      <c r="C61" s="39" t="n"/>
      <c r="D61" s="39" t="n"/>
      <c r="E61" s="40" t="n"/>
      <c r="F61" s="39" t="n"/>
      <c r="G61" s="39" t="n"/>
      <c r="H61" s="39" t="n"/>
      <c r="I61" s="39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</row>
    <row r="62" ht="18" customHeight="1">
      <c r="A62" s="1" t="n"/>
      <c r="B62" s="33" t="n"/>
      <c r="C62" s="33" t="n"/>
      <c r="D62" s="33" t="n"/>
      <c r="E62" s="42" t="n"/>
      <c r="F62" s="33" t="n"/>
      <c r="G62" s="33" t="n"/>
      <c r="H62" s="33" t="n"/>
      <c r="I62" s="33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</row>
    <row r="63" ht="18" customHeight="1">
      <c r="A63" s="1" t="n"/>
      <c r="B63" s="39" t="n"/>
      <c r="C63" s="39" t="n"/>
      <c r="D63" s="39" t="n"/>
      <c r="E63" s="40" t="n"/>
      <c r="F63" s="39" t="n"/>
      <c r="G63" s="39" t="n"/>
      <c r="H63" s="39" t="n"/>
      <c r="I63" s="39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</row>
    <row r="64" ht="18" customHeight="1">
      <c r="A64" s="1" t="n"/>
      <c r="B64" s="33" t="n"/>
      <c r="C64" s="33" t="n"/>
      <c r="D64" s="33" t="n"/>
      <c r="E64" s="42" t="n"/>
      <c r="F64" s="33" t="n"/>
      <c r="G64" s="33" t="n"/>
      <c r="H64" s="33" t="n"/>
      <c r="I64" s="33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</row>
    <row r="65" ht="18" customHeight="1">
      <c r="A65" s="1" t="n"/>
      <c r="B65" s="39" t="n"/>
      <c r="C65" s="39" t="n"/>
      <c r="D65" s="39" t="n"/>
      <c r="E65" s="40" t="n"/>
      <c r="F65" s="39" t="n"/>
      <c r="G65" s="39" t="n"/>
      <c r="H65" s="39" t="n"/>
      <c r="I65" s="39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</row>
    <row r="66" ht="18" customHeight="1">
      <c r="A66" s="1" t="n"/>
      <c r="B66" s="33" t="n"/>
      <c r="C66" s="33" t="n"/>
      <c r="D66" s="33" t="n"/>
      <c r="E66" s="42" t="n"/>
      <c r="F66" s="33" t="n"/>
      <c r="G66" s="33" t="n"/>
      <c r="H66" s="33" t="n"/>
      <c r="I66" s="33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</row>
    <row r="67" ht="18" customHeight="1">
      <c r="A67" s="1" t="n"/>
      <c r="B67" s="39" t="n"/>
      <c r="C67" s="39" t="n"/>
      <c r="D67" s="39" t="n"/>
      <c r="E67" s="40" t="n"/>
      <c r="F67" s="39" t="n"/>
      <c r="G67" s="39" t="n"/>
      <c r="H67" s="39" t="n"/>
      <c r="I67" s="39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</row>
    <row r="68" ht="18" customHeight="1">
      <c r="A68" s="1" t="n"/>
      <c r="B68" s="33" t="n"/>
      <c r="C68" s="33" t="n"/>
      <c r="D68" s="33" t="n"/>
      <c r="E68" s="42" t="n"/>
      <c r="F68" s="33" t="n"/>
      <c r="G68" s="33" t="n"/>
      <c r="H68" s="33" t="n"/>
      <c r="I68" s="33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</row>
    <row r="69" ht="18" customHeight="1">
      <c r="A69" s="1" t="n"/>
      <c r="B69" s="39" t="n"/>
      <c r="C69" s="39" t="n"/>
      <c r="D69" s="39" t="n"/>
      <c r="E69" s="40" t="n"/>
      <c r="F69" s="39" t="n"/>
      <c r="G69" s="39" t="n"/>
      <c r="H69" s="39" t="n"/>
      <c r="I69" s="39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</row>
    <row r="70" ht="18" customHeight="1">
      <c r="A70" s="1" t="n"/>
      <c r="B70" s="33" t="n"/>
      <c r="C70" s="33" t="n"/>
      <c r="D70" s="33" t="n"/>
      <c r="E70" s="42" t="n"/>
      <c r="F70" s="33" t="n"/>
      <c r="G70" s="33" t="n"/>
      <c r="H70" s="33" t="n"/>
      <c r="I70" s="33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</row>
    <row r="71" ht="18" customHeight="1">
      <c r="A71" s="1" t="n"/>
      <c r="B71" s="39" t="n"/>
      <c r="C71" s="39" t="n"/>
      <c r="D71" s="39" t="n"/>
      <c r="E71" s="40" t="n"/>
      <c r="F71" s="39" t="n"/>
      <c r="G71" s="39" t="n"/>
      <c r="H71" s="39" t="n"/>
      <c r="I71" s="39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</row>
    <row r="72" ht="18" customHeight="1">
      <c r="A72" s="1" t="n"/>
      <c r="B72" s="33" t="n"/>
      <c r="C72" s="33" t="n"/>
      <c r="D72" s="33" t="n"/>
      <c r="E72" s="42" t="n"/>
      <c r="F72" s="33" t="n"/>
      <c r="G72" s="33" t="n"/>
      <c r="H72" s="33" t="n"/>
      <c r="I72" s="3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</row>
    <row r="73" ht="18" customHeight="1">
      <c r="A73" s="1" t="n"/>
      <c r="B73" s="39" t="n"/>
      <c r="C73" s="39" t="n"/>
      <c r="D73" s="39" t="n"/>
      <c r="E73" s="40" t="n"/>
      <c r="F73" s="39" t="n"/>
      <c r="G73" s="39" t="n"/>
      <c r="H73" s="39" t="n"/>
      <c r="I73" s="39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</row>
    <row r="74" ht="18" customHeight="1">
      <c r="A74" s="1" t="n"/>
      <c r="B74" s="33" t="n"/>
      <c r="C74" s="33" t="n"/>
      <c r="D74" s="33" t="n"/>
      <c r="E74" s="42" t="n"/>
      <c r="F74" s="33" t="n"/>
      <c r="G74" s="33" t="n"/>
      <c r="H74" s="33" t="n"/>
      <c r="I74" s="3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</row>
    <row r="75" ht="18" customHeight="1">
      <c r="A75" s="1" t="n"/>
      <c r="B75" s="39" t="n"/>
      <c r="C75" s="39" t="n"/>
      <c r="D75" s="39" t="n"/>
      <c r="E75" s="40" t="n"/>
      <c r="F75" s="39" t="n"/>
      <c r="G75" s="39" t="n"/>
      <c r="H75" s="39" t="n"/>
      <c r="I75" s="39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</row>
    <row r="76" ht="18" customHeight="1">
      <c r="A76" s="1" t="n"/>
      <c r="B76" s="33" t="n"/>
      <c r="C76" s="33" t="n"/>
      <c r="D76" s="33" t="n"/>
      <c r="E76" s="42" t="n"/>
      <c r="F76" s="33" t="n"/>
      <c r="G76" s="33" t="n"/>
      <c r="H76" s="33" t="n"/>
      <c r="I76" s="3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</row>
    <row r="77" ht="18" customHeight="1">
      <c r="A77" s="1" t="n"/>
      <c r="B77" s="39" t="n"/>
      <c r="C77" s="39" t="n"/>
      <c r="D77" s="39" t="n"/>
      <c r="E77" s="40" t="n"/>
      <c r="F77" s="39" t="n"/>
      <c r="G77" s="39" t="n"/>
      <c r="H77" s="39" t="n"/>
      <c r="I77" s="39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</row>
    <row r="78" ht="18" customHeight="1">
      <c r="A78" s="1" t="n"/>
      <c r="B78" s="33" t="n"/>
      <c r="C78" s="33" t="n"/>
      <c r="D78" s="33" t="n"/>
      <c r="E78" s="42" t="n"/>
      <c r="F78" s="33" t="n"/>
      <c r="G78" s="33" t="n"/>
      <c r="H78" s="33" t="n"/>
      <c r="I78" s="3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</row>
    <row r="79" ht="18" customHeight="1">
      <c r="A79" s="1" t="n"/>
      <c r="B79" s="39" t="n"/>
      <c r="C79" s="39" t="n"/>
      <c r="D79" s="39" t="n"/>
      <c r="E79" s="40" t="n"/>
      <c r="F79" s="39" t="n"/>
      <c r="G79" s="39" t="n"/>
      <c r="H79" s="39" t="n"/>
      <c r="I79" s="39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</row>
    <row r="80" ht="18" customHeight="1">
      <c r="A80" s="1" t="n"/>
      <c r="B80" s="33" t="n"/>
      <c r="C80" s="33" t="n"/>
      <c r="D80" s="33" t="n"/>
      <c r="E80" s="42" t="n"/>
      <c r="F80" s="33" t="n"/>
      <c r="G80" s="33" t="n"/>
      <c r="H80" s="33" t="n"/>
      <c r="I80" s="3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</row>
    <row r="81" ht="18" customHeight="1">
      <c r="A81" s="1" t="n"/>
      <c r="B81" s="39" t="n"/>
      <c r="C81" s="39" t="n"/>
      <c r="D81" s="39" t="n"/>
      <c r="E81" s="40" t="n"/>
      <c r="F81" s="39" t="n"/>
      <c r="G81" s="39" t="n"/>
      <c r="H81" s="39" t="n"/>
      <c r="I81" s="39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</row>
    <row r="82" ht="18" customHeight="1">
      <c r="A82" s="1" t="n"/>
      <c r="B82" s="33" t="n"/>
      <c r="C82" s="33" t="n"/>
      <c r="D82" s="33" t="n"/>
      <c r="E82" s="42" t="n"/>
      <c r="F82" s="33" t="n"/>
      <c r="G82" s="33" t="n"/>
      <c r="H82" s="33" t="n"/>
      <c r="I82" s="3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</row>
    <row r="83" ht="18" customHeight="1">
      <c r="A83" s="1" t="n"/>
      <c r="B83" s="39" t="n"/>
      <c r="C83" s="39" t="n"/>
      <c r="D83" s="39" t="n"/>
      <c r="E83" s="40" t="n"/>
      <c r="F83" s="39" t="n"/>
      <c r="G83" s="39" t="n"/>
      <c r="H83" s="39" t="n"/>
      <c r="I83" s="39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</row>
    <row r="84" ht="18" customHeight="1">
      <c r="A84" s="1" t="n"/>
      <c r="B84" s="33" t="n"/>
      <c r="C84" s="33" t="n"/>
      <c r="D84" s="33" t="n"/>
      <c r="E84" s="42" t="n"/>
      <c r="F84" s="33" t="n"/>
      <c r="G84" s="33" t="n"/>
      <c r="H84" s="33" t="n"/>
      <c r="I84" s="3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</row>
    <row r="85" ht="18" customHeight="1">
      <c r="A85" s="1" t="n"/>
      <c r="B85" s="39" t="n"/>
      <c r="C85" s="39" t="n"/>
      <c r="D85" s="39" t="n"/>
      <c r="E85" s="40" t="n"/>
      <c r="F85" s="39" t="n"/>
      <c r="G85" s="39" t="n"/>
      <c r="H85" s="39" t="n"/>
      <c r="I85" s="39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</row>
    <row r="86" ht="18" customHeight="1">
      <c r="A86" s="1" t="n"/>
      <c r="B86" s="33" t="n"/>
      <c r="C86" s="33" t="n"/>
      <c r="D86" s="33" t="n"/>
      <c r="E86" s="42" t="n"/>
      <c r="F86" s="33" t="n"/>
      <c r="G86" s="33" t="n"/>
      <c r="H86" s="33" t="n"/>
      <c r="I86" s="3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</row>
    <row r="87" ht="18" customHeight="1">
      <c r="A87" s="1" t="n"/>
      <c r="B87" s="39" t="n"/>
      <c r="C87" s="39" t="n"/>
      <c r="D87" s="39" t="n"/>
      <c r="E87" s="40" t="n"/>
      <c r="F87" s="39" t="n"/>
      <c r="G87" s="39" t="n"/>
      <c r="H87" s="39" t="n"/>
      <c r="I87" s="39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</row>
    <row r="88" ht="18" customHeight="1">
      <c r="A88" s="1" t="n"/>
      <c r="B88" s="33" t="n"/>
      <c r="C88" s="33" t="n"/>
      <c r="D88" s="33" t="n"/>
      <c r="E88" s="42" t="n"/>
      <c r="F88" s="33" t="n"/>
      <c r="G88" s="33" t="n"/>
      <c r="H88" s="33" t="n"/>
      <c r="I88" s="3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</row>
    <row r="89" ht="18" customHeight="1">
      <c r="A89" s="1" t="n"/>
      <c r="B89" s="39" t="n"/>
      <c r="C89" s="39" t="n"/>
      <c r="D89" s="39" t="n"/>
      <c r="E89" s="40" t="n"/>
      <c r="F89" s="39" t="n"/>
      <c r="G89" s="39" t="n"/>
      <c r="H89" s="39" t="n"/>
      <c r="I89" s="39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</row>
    <row r="90" ht="18" customHeight="1">
      <c r="A90" s="1" t="n"/>
      <c r="B90" s="33" t="n"/>
      <c r="C90" s="33" t="n"/>
      <c r="D90" s="33" t="n"/>
      <c r="E90" s="42" t="n"/>
      <c r="F90" s="33" t="n"/>
      <c r="G90" s="33" t="n"/>
      <c r="H90" s="33" t="n"/>
      <c r="I90" s="3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</row>
    <row r="91" ht="18" customHeight="1">
      <c r="A91" s="1" t="n"/>
      <c r="B91" s="39" t="n"/>
      <c r="C91" s="39" t="n"/>
      <c r="D91" s="39" t="n"/>
      <c r="E91" s="40" t="n"/>
      <c r="F91" s="39" t="n"/>
      <c r="G91" s="39" t="n"/>
      <c r="H91" s="39" t="n"/>
      <c r="I91" s="39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</row>
    <row r="92" ht="18" customHeight="1">
      <c r="A92" s="1" t="n"/>
      <c r="B92" s="33" t="n"/>
      <c r="C92" s="33" t="n"/>
      <c r="D92" s="33" t="n"/>
      <c r="E92" s="42" t="n"/>
      <c r="F92" s="33" t="n"/>
      <c r="G92" s="33" t="n"/>
      <c r="H92" s="33" t="n"/>
      <c r="I92" s="3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</row>
    <row r="93" ht="18" customHeight="1">
      <c r="A93" s="1" t="n"/>
      <c r="B93" s="39" t="n"/>
      <c r="C93" s="39" t="n"/>
      <c r="D93" s="39" t="n"/>
      <c r="E93" s="40" t="n"/>
      <c r="F93" s="39" t="n"/>
      <c r="G93" s="39" t="n"/>
      <c r="H93" s="39" t="n"/>
      <c r="I93" s="39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</row>
    <row r="94" ht="18" customHeight="1">
      <c r="A94" s="1" t="n"/>
      <c r="B94" s="33" t="n"/>
      <c r="C94" s="33" t="n"/>
      <c r="D94" s="33" t="n"/>
      <c r="E94" s="42" t="n"/>
      <c r="F94" s="33" t="n"/>
      <c r="G94" s="33" t="n"/>
      <c r="H94" s="33" t="n"/>
      <c r="I94" s="3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</row>
    <row r="95" ht="18" customHeight="1">
      <c r="A95" s="1" t="n"/>
      <c r="B95" s="39" t="n"/>
      <c r="C95" s="39" t="n"/>
      <c r="D95" s="39" t="n"/>
      <c r="E95" s="40" t="n"/>
      <c r="F95" s="39" t="n"/>
      <c r="G95" s="39" t="n"/>
      <c r="H95" s="39" t="n"/>
      <c r="I95" s="39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</row>
    <row r="96" ht="18" customHeight="1">
      <c r="A96" s="1" t="n"/>
      <c r="B96" s="33" t="n"/>
      <c r="C96" s="33" t="n"/>
      <c r="D96" s="33" t="n"/>
      <c r="E96" s="42" t="n"/>
      <c r="F96" s="33" t="n"/>
      <c r="G96" s="33" t="n"/>
      <c r="H96" s="33" t="n"/>
      <c r="I96" s="3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</row>
    <row r="97" ht="18" customHeight="1">
      <c r="A97" s="1" t="n"/>
      <c r="B97" s="39" t="n"/>
      <c r="C97" s="39" t="n"/>
      <c r="D97" s="39" t="n"/>
      <c r="E97" s="40" t="n"/>
      <c r="F97" s="39" t="n"/>
      <c r="G97" s="39" t="n"/>
      <c r="H97" s="39" t="n"/>
      <c r="I97" s="39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</row>
    <row r="98" ht="18" customHeight="1">
      <c r="A98" s="1" t="n"/>
      <c r="B98" s="33" t="n"/>
      <c r="C98" s="33" t="n"/>
      <c r="D98" s="33" t="n"/>
      <c r="E98" s="42" t="n"/>
      <c r="F98" s="33" t="n"/>
      <c r="G98" s="33" t="n"/>
      <c r="H98" s="33" t="n"/>
      <c r="I98" s="3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</row>
    <row r="99" ht="18" customHeight="1">
      <c r="A99" s="1" t="n"/>
      <c r="B99" s="39" t="n"/>
      <c r="C99" s="39" t="n"/>
      <c r="D99" s="39" t="n"/>
      <c r="E99" s="40" t="n"/>
      <c r="F99" s="39" t="n"/>
      <c r="G99" s="39" t="n"/>
      <c r="H99" s="39" t="n"/>
      <c r="I99" s="39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</row>
    <row r="100" ht="18" customHeight="1">
      <c r="A100" s="1" t="n"/>
      <c r="B100" s="33" t="n"/>
      <c r="C100" s="33" t="n"/>
      <c r="D100" s="33" t="n"/>
      <c r="E100" s="42" t="n"/>
      <c r="F100" s="33" t="n"/>
      <c r="G100" s="33" t="n"/>
      <c r="H100" s="33" t="n"/>
      <c r="I100" s="3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</row>
    <row r="101" ht="18" customHeight="1">
      <c r="A101" s="1" t="n"/>
      <c r="B101" s="39" t="n"/>
      <c r="C101" s="39" t="n"/>
      <c r="D101" s="39" t="n"/>
      <c r="E101" s="40" t="n"/>
      <c r="F101" s="39" t="n"/>
      <c r="G101" s="39" t="n"/>
      <c r="H101" s="39" t="n"/>
      <c r="I101" s="39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</row>
    <row r="102" ht="18" customHeight="1">
      <c r="A102" s="1" t="n"/>
      <c r="B102" s="33" t="n"/>
      <c r="C102" s="33" t="n"/>
      <c r="D102" s="33" t="n"/>
      <c r="E102" s="42" t="n"/>
      <c r="F102" s="33" t="n"/>
      <c r="G102" s="33" t="n"/>
      <c r="H102" s="33" t="n"/>
      <c r="I102" s="3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</row>
    <row r="103" ht="18" customHeight="1">
      <c r="A103" s="1" t="n"/>
      <c r="B103" s="39" t="n"/>
      <c r="C103" s="39" t="n"/>
      <c r="D103" s="39" t="n"/>
      <c r="E103" s="40" t="n"/>
      <c r="F103" s="39" t="n"/>
      <c r="G103" s="39" t="n"/>
      <c r="H103" s="39" t="n"/>
      <c r="I103" s="39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</row>
    <row r="104" ht="18" customHeight="1">
      <c r="A104" s="1" t="n"/>
      <c r="B104" s="33" t="n"/>
      <c r="C104" s="33" t="n"/>
      <c r="D104" s="33" t="n"/>
      <c r="E104" s="42" t="n"/>
      <c r="F104" s="33" t="n"/>
      <c r="G104" s="33" t="n"/>
      <c r="H104" s="33" t="n"/>
      <c r="I104" s="3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</row>
    <row r="105" ht="18" customHeight="1">
      <c r="A105" s="1" t="n"/>
      <c r="B105" s="39" t="n"/>
      <c r="C105" s="39" t="n"/>
      <c r="D105" s="39" t="n"/>
      <c r="E105" s="40" t="n"/>
      <c r="F105" s="39" t="n"/>
      <c r="G105" s="39" t="n"/>
      <c r="H105" s="39" t="n"/>
      <c r="I105" s="39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</row>
    <row r="106" ht="18" customHeight="1">
      <c r="A106" s="1" t="n"/>
      <c r="B106" s="33" t="n"/>
      <c r="C106" s="33" t="n"/>
      <c r="D106" s="33" t="n"/>
      <c r="E106" s="42" t="n"/>
      <c r="F106" s="33" t="n"/>
      <c r="G106" s="33" t="n"/>
      <c r="H106" s="33" t="n"/>
      <c r="I106" s="3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</row>
    <row r="107" ht="18" customHeight="1">
      <c r="A107" s="1" t="n"/>
      <c r="B107" s="39" t="n"/>
      <c r="C107" s="39" t="n"/>
      <c r="D107" s="39" t="n"/>
      <c r="E107" s="40" t="n"/>
      <c r="F107" s="39" t="n"/>
      <c r="G107" s="39" t="n"/>
      <c r="H107" s="39" t="n"/>
      <c r="I107" s="39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</row>
    <row r="108" ht="18" customHeight="1">
      <c r="A108" s="1" t="n"/>
      <c r="B108" s="33" t="n"/>
      <c r="C108" s="33" t="n"/>
      <c r="D108" s="33" t="n"/>
      <c r="E108" s="42" t="n"/>
      <c r="F108" s="33" t="n"/>
      <c r="G108" s="33" t="n"/>
      <c r="H108" s="33" t="n"/>
      <c r="I108" s="3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</row>
    <row r="109" ht="18" customHeight="1">
      <c r="A109" s="1" t="n"/>
      <c r="B109" s="39" t="n"/>
      <c r="C109" s="39" t="n"/>
      <c r="D109" s="39" t="n"/>
      <c r="E109" s="40" t="n"/>
      <c r="F109" s="39" t="n"/>
      <c r="G109" s="39" t="n"/>
      <c r="H109" s="39" t="n"/>
      <c r="I109" s="39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</row>
    <row r="110" ht="18" customHeight="1">
      <c r="A110" s="1" t="n"/>
      <c r="B110" s="33" t="n"/>
      <c r="C110" s="33" t="n"/>
      <c r="D110" s="33" t="n"/>
      <c r="E110" s="42" t="n"/>
      <c r="F110" s="33" t="n"/>
      <c r="G110" s="33" t="n"/>
      <c r="H110" s="33" t="n"/>
      <c r="I110" s="3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</row>
    <row r="111" ht="18" customHeight="1">
      <c r="A111" s="1" t="n"/>
      <c r="B111" s="39" t="n"/>
      <c r="C111" s="39" t="n"/>
      <c r="D111" s="39" t="n"/>
      <c r="E111" s="40" t="n"/>
      <c r="F111" s="39" t="n"/>
      <c r="G111" s="39" t="n"/>
      <c r="H111" s="39" t="n"/>
      <c r="I111" s="39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</row>
    <row r="112" ht="18" customHeight="1">
      <c r="A112" s="1" t="n"/>
      <c r="B112" s="33" t="n"/>
      <c r="C112" s="33" t="n"/>
      <c r="D112" s="33" t="n"/>
      <c r="E112" s="42" t="n"/>
      <c r="F112" s="33" t="n"/>
      <c r="G112" s="33" t="n"/>
      <c r="H112" s="33" t="n"/>
      <c r="I112" s="3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</row>
  </sheetData>
  <mergeCells count="12">
    <mergeCell ref="H9:L9"/>
    <mergeCell ref="B5:G5"/>
    <mergeCell ref="H7:L7"/>
    <mergeCell ref="H6:L6"/>
    <mergeCell ref="B9:G9"/>
    <mergeCell ref="B8:G8"/>
    <mergeCell ref="B2:R2"/>
    <mergeCell ref="H5:L5"/>
    <mergeCell ref="H8:L8"/>
    <mergeCell ref="B11:Q11"/>
    <mergeCell ref="B7:G7"/>
    <mergeCell ref="B6:G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8B800"/>
    <outlinePr summaryBelow="1" summaryRight="1"/>
    <pageSetUpPr/>
  </sheetPr>
  <dimension ref="A1:O5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20" customWidth="1" min="3" max="3"/>
    <col width="6" customWidth="1" min="4" max="4"/>
    <col width="6" customWidth="1" min="5" max="5"/>
    <col width="6" customWidth="1" min="6" max="6"/>
    <col width="6" customWidth="1" min="7" max="7"/>
    <col width="10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5" customHeight="1">
      <c r="A2" s="1" t="n"/>
      <c r="B2" s="37" t="inlineStr">
        <is>
          <t>🧮  CALCULADORA DE PREÇO PREMIUM</t>
        </is>
      </c>
      <c r="O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20" customHeight="1">
      <c r="A4" s="1" t="n"/>
      <c r="B4" s="31" t="inlineStr">
        <is>
          <t>⚙️  PARÂMETROS DO PROJETO</t>
        </is>
      </c>
      <c r="I4" s="1" t="n"/>
      <c r="J4" s="1" t="n"/>
      <c r="K4" s="1" t="n"/>
      <c r="L4" s="1" t="n"/>
      <c r="M4" s="1" t="n"/>
      <c r="N4" s="1" t="n"/>
      <c r="O4" s="1" t="n"/>
    </row>
    <row r="5" ht="22" customHeight="1">
      <c r="A5" s="1" t="n"/>
      <c r="B5" s="57" t="inlineStr">
        <is>
          <t>Horas estimadas de trabalho</t>
        </is>
      </c>
      <c r="H5" s="58" t="n">
        <v>3</v>
      </c>
      <c r="J5" s="59" t="inlineStr"/>
      <c r="O5" s="1" t="n"/>
    </row>
    <row r="6" ht="22" customHeight="1">
      <c r="A6" s="1" t="n"/>
      <c r="B6" s="57" t="inlineStr">
        <is>
          <t>Valor da sua hora (R$)</t>
        </is>
      </c>
      <c r="H6" s="58" t="n">
        <v>80</v>
      </c>
      <c r="J6" s="59" t="inlineStr"/>
      <c r="O6" s="1" t="n"/>
    </row>
    <row r="7" ht="22" customHeight="1">
      <c r="A7" s="1" t="n"/>
      <c r="B7" s="57" t="inlineStr">
        <is>
          <t>Custo de material (R$)</t>
        </is>
      </c>
      <c r="H7" s="58" t="n">
        <v>50</v>
      </c>
      <c r="J7" s="59" t="inlineStr"/>
      <c r="O7" s="1" t="n"/>
    </row>
    <row r="8" ht="22" customHeight="1">
      <c r="A8" s="1" t="n"/>
      <c r="B8" s="57" t="inlineStr">
        <is>
          <t>Tamanho (1=Pequeno, 2=Médio, 3=Grande, 4=Manga)</t>
        </is>
      </c>
      <c r="H8" s="58" t="n">
        <v>2</v>
      </c>
      <c r="J8" s="59" t="inlineStr"/>
      <c r="O8" s="1" t="n"/>
    </row>
    <row r="9" ht="22" customHeight="1">
      <c r="A9" s="1" t="n"/>
      <c r="B9" s="57" t="inlineStr">
        <is>
          <t>Complexidade (1=Simples, 2=Médio, 3=Complexo)</t>
        </is>
      </c>
      <c r="H9" s="58" t="n">
        <v>2</v>
      </c>
      <c r="J9" s="59" t="inlineStr"/>
      <c r="O9" s="1" t="n"/>
    </row>
    <row r="10" ht="22" customHeight="1">
      <c r="A10" s="1" t="n"/>
      <c r="B10" s="57" t="inlineStr">
        <is>
          <t>Cover Up? (1=Sim, 0=Não)</t>
        </is>
      </c>
      <c r="H10" s="58" t="n">
        <v>0</v>
      </c>
      <c r="J10" s="59" t="inlineStr"/>
      <c r="O10" s="1" t="n"/>
    </row>
    <row r="11" ht="22" customHeight="1">
      <c r="A11" s="1" t="n"/>
      <c r="B11" s="57" t="inlineStr">
        <is>
          <t>Colorida? (1=Sim, 0=Não)</t>
        </is>
      </c>
      <c r="H11" s="58" t="n">
        <v>0</v>
      </c>
      <c r="J11" s="59" t="inlineStr"/>
      <c r="O11" s="1" t="n"/>
    </row>
    <row r="12" ht="22" customHeight="1">
      <c r="A12" s="1" t="n"/>
      <c r="B12" s="57" t="inlineStr">
        <is>
          <t>Região sensível? (1=Sim, 0=Não)</t>
        </is>
      </c>
      <c r="H12" s="58" t="n">
        <v>0</v>
      </c>
      <c r="J12" s="59" t="inlineStr"/>
      <c r="O12" s="1" t="n"/>
    </row>
    <row r="13" ht="22" customHeight="1">
      <c r="A13" s="1" t="n"/>
      <c r="B13" s="57" t="inlineStr">
        <is>
          <t>Margem de lucro desejada %</t>
        </is>
      </c>
      <c r="H13" s="58" t="n">
        <v>40</v>
      </c>
      <c r="J13" s="59" t="inlineStr"/>
      <c r="O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</row>
    <row r="15" ht="20" customHeight="1">
      <c r="A15" s="1" t="n"/>
      <c r="B15" s="31" t="inlineStr">
        <is>
          <t>💰  RESULTADO DO CÁLCULO</t>
        </is>
      </c>
      <c r="N15" s="1" t="n"/>
      <c r="O15" s="1" t="n"/>
    </row>
    <row r="16" ht="22" customHeight="1">
      <c r="A16" s="1" t="n"/>
      <c r="B16" s="1" t="n"/>
      <c r="C16" s="60" t="inlineStr">
        <is>
          <t>Custo base (horas × hora)</t>
        </is>
      </c>
      <c r="I16" s="61">
        <f>H5*H6+H7</f>
        <v/>
      </c>
      <c r="O16" s="1" t="n"/>
    </row>
    <row r="17" ht="22" customHeight="1">
      <c r="A17" s="1" t="n"/>
      <c r="B17" s="1" t="n"/>
      <c r="C17" s="62" t="inlineStr">
        <is>
          <t>Multiplicador de tamanho</t>
        </is>
      </c>
      <c r="I17" s="63">
        <f>IF(H8=1,1,IF(H8=2,1.3,IF(H8=3,1.7,2.5)))</f>
        <v/>
      </c>
      <c r="O17" s="1" t="n"/>
    </row>
    <row r="18" ht="22" customHeight="1">
      <c r="A18" s="1" t="n"/>
      <c r="B18" s="1" t="n"/>
      <c r="C18" s="62" t="inlineStr">
        <is>
          <t>Multiplicador de complexidade</t>
        </is>
      </c>
      <c r="I18" s="63">
        <f>IF(H9=1,1,IF(H9=2,1.25,1.6))</f>
        <v/>
      </c>
      <c r="O18" s="1" t="n"/>
    </row>
    <row r="19" ht="22" customHeight="1">
      <c r="A19" s="1" t="n"/>
      <c r="B19" s="1" t="n"/>
      <c r="C19" s="64" t="inlineStr">
        <is>
          <t>Adicional cover up (+40%)</t>
        </is>
      </c>
      <c r="I19" s="65">
        <f>IF(H10=1,B16*0.4,0)</f>
        <v/>
      </c>
      <c r="O19" s="1" t="n"/>
    </row>
    <row r="20" ht="22" customHeight="1">
      <c r="A20" s="1" t="n"/>
      <c r="B20" s="1" t="n"/>
      <c r="C20" s="66" t="inlineStr">
        <is>
          <t>Adicional colorida (+30%)</t>
        </is>
      </c>
      <c r="I20" s="67">
        <f>IF(H11=1,B16*0.3,0)</f>
        <v/>
      </c>
      <c r="O20" s="1" t="n"/>
    </row>
    <row r="21" ht="22" customHeight="1">
      <c r="A21" s="1" t="n"/>
      <c r="B21" s="1" t="n"/>
      <c r="C21" s="68" t="inlineStr">
        <is>
          <t>Adicional região (+20%)</t>
        </is>
      </c>
      <c r="I21" s="69">
        <f>IF(H12=1,B16*0.2,0)</f>
        <v/>
      </c>
      <c r="O21" s="1" t="n"/>
    </row>
    <row r="22" ht="22" customHeight="1">
      <c r="A22" s="1" t="n"/>
      <c r="B22" s="1" t="n"/>
      <c r="C22" s="70" t="inlineStr">
        <is>
          <t>Subtotal antes margem</t>
        </is>
      </c>
      <c r="I22" s="71">
        <f>B16*B17*B18+B19+B20+B21</f>
        <v/>
      </c>
      <c r="O22" s="1" t="n"/>
    </row>
    <row r="23" ht="22" customHeight="1">
      <c r="A23" s="1" t="n"/>
      <c r="B23" s="1" t="n"/>
      <c r="C23" s="72" t="inlineStr">
        <is>
          <t>Margem de lucro</t>
        </is>
      </c>
      <c r="I23" s="73">
        <f>B22*(H13/100)</f>
        <v/>
      </c>
      <c r="O23" s="1" t="n"/>
    </row>
    <row r="24" ht="28" customHeight="1">
      <c r="A24" s="1" t="n"/>
      <c r="B24" s="1" t="n"/>
      <c r="C24" s="74" t="inlineStr">
        <is>
          <t>⭐ PREÇO MÍNIMO SUGERIDO</t>
        </is>
      </c>
      <c r="I24" s="75">
        <f>CEILING(B22+B23,50)</f>
        <v/>
      </c>
      <c r="O24" s="1" t="n"/>
    </row>
    <row r="25" ht="28" customHeight="1">
      <c r="A25" s="1" t="n"/>
      <c r="B25" s="1" t="n"/>
      <c r="C25" s="76" t="inlineStr">
        <is>
          <t>⭐ PREÇO PREMIUM (+20%)</t>
        </is>
      </c>
      <c r="I25" s="77">
        <f>CEILING((B22+B23)*1.2,50)</f>
        <v/>
      </c>
      <c r="O25" s="1" t="n"/>
    </row>
    <row r="26" ht="28" customHeight="1">
      <c r="A26" s="1" t="n"/>
      <c r="B26" s="1" t="n"/>
      <c r="C26" s="78" t="inlineStr">
        <is>
          <t>Lucro na venda mínima</t>
        </is>
      </c>
      <c r="I26" s="79">
        <f>B24-B16</f>
        <v/>
      </c>
      <c r="O26" s="1" t="n"/>
    </row>
    <row r="27" ht="28" customHeight="1">
      <c r="A27" s="1" t="n"/>
      <c r="B27" s="1" t="n"/>
      <c r="C27" s="80" t="inlineStr">
        <is>
          <t>Lucro no preço premium</t>
        </is>
      </c>
      <c r="I27" s="81">
        <f>B25-B16</f>
        <v/>
      </c>
      <c r="O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</row>
  </sheetData>
  <mergeCells count="54">
    <mergeCell ref="C25:H25"/>
    <mergeCell ref="I25:N25"/>
    <mergeCell ref="C26:H26"/>
    <mergeCell ref="C16:H16"/>
    <mergeCell ref="H10:I10"/>
    <mergeCell ref="J5:N5"/>
    <mergeCell ref="C22:H22"/>
    <mergeCell ref="I22:N22"/>
    <mergeCell ref="B8:G8"/>
    <mergeCell ref="J10:N10"/>
    <mergeCell ref="I18:N18"/>
    <mergeCell ref="B13:G13"/>
    <mergeCell ref="J13:N13"/>
    <mergeCell ref="H9:I9"/>
    <mergeCell ref="C21:H21"/>
    <mergeCell ref="B11:G11"/>
    <mergeCell ref="I21:N21"/>
    <mergeCell ref="J9:N9"/>
    <mergeCell ref="B10:G10"/>
    <mergeCell ref="H6:I6"/>
    <mergeCell ref="I24:N24"/>
    <mergeCell ref="I16:N16"/>
    <mergeCell ref="B4:H4"/>
    <mergeCell ref="C27:H27"/>
    <mergeCell ref="J6:N6"/>
    <mergeCell ref="B9:G9"/>
    <mergeCell ref="C23:H23"/>
    <mergeCell ref="I17:N17"/>
    <mergeCell ref="I23:N23"/>
    <mergeCell ref="C17:H17"/>
    <mergeCell ref="I20:N20"/>
    <mergeCell ref="B6:G6"/>
    <mergeCell ref="H11:I11"/>
    <mergeCell ref="B15:M15"/>
    <mergeCell ref="C19:H19"/>
    <mergeCell ref="I19:N19"/>
    <mergeCell ref="B5:G5"/>
    <mergeCell ref="J11:N11"/>
    <mergeCell ref="H7:I7"/>
    <mergeCell ref="J7:N7"/>
    <mergeCell ref="C18:H18"/>
    <mergeCell ref="H13:I13"/>
    <mergeCell ref="B2:N2"/>
    <mergeCell ref="B7:G7"/>
    <mergeCell ref="H12:I12"/>
    <mergeCell ref="C24:H24"/>
    <mergeCell ref="I27:N27"/>
    <mergeCell ref="J12:N12"/>
    <mergeCell ref="I26:N26"/>
    <mergeCell ref="H5:I5"/>
    <mergeCell ref="B12:G12"/>
    <mergeCell ref="H8:I8"/>
    <mergeCell ref="J8:N8"/>
    <mergeCell ref="C20:H2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7E22"/>
    <outlinePr summaryBelow="1" summaryRight="1"/>
    <pageSetUpPr/>
  </sheetPr>
  <dimension ref="A1:M7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4" customWidth="1" min="3" max="3"/>
    <col width="10" customWidth="1" min="4" max="4"/>
    <col width="8" customWidth="1" min="5" max="5"/>
    <col width="12" customWidth="1" min="6" max="6"/>
    <col width="12" customWidth="1" min="7" max="7"/>
    <col width="10" customWidth="1" min="8" max="8"/>
    <col width="14" customWidth="1" min="9" max="9"/>
    <col width="14" customWidth="1" min="10" max="10"/>
    <col width="16" customWidth="1" min="11" max="11"/>
    <col width="16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5" customHeight="1">
      <c r="A2" s="1" t="n"/>
      <c r="B2" s="37" t="inlineStr">
        <is>
          <t>📦  CONTROLE DE ESTOQUE — CENTRAL TATTOO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 ht="22" customHeight="1">
      <c r="A4" s="1" t="n"/>
      <c r="B4" s="38" t="inlineStr">
        <is>
          <t>MATERIAL</t>
        </is>
      </c>
      <c r="C4" s="38" t="inlineStr">
        <is>
          <t>CATEGORIA</t>
        </is>
      </c>
      <c r="D4" s="38" t="inlineStr">
        <is>
          <t>QTD ATUAL</t>
        </is>
      </c>
      <c r="E4" s="38" t="inlineStr">
        <is>
          <t>UNID.</t>
        </is>
      </c>
      <c r="F4" s="38" t="inlineStr">
        <is>
          <t>CUSTO UNIT.</t>
        </is>
      </c>
      <c r="G4" s="38" t="inlineStr">
        <is>
          <t>VALOR TOTAL</t>
        </is>
      </c>
      <c r="H4" s="38" t="inlineStr">
        <is>
          <t>QTD MÍNIMA</t>
        </is>
      </c>
      <c r="I4" s="38" t="inlineStr">
        <is>
          <t>STATUS</t>
        </is>
      </c>
      <c r="J4" s="38" t="inlineStr">
        <is>
          <t>ÚLTIMO PEDIDO</t>
        </is>
      </c>
      <c r="K4" s="38" t="inlineStr">
        <is>
          <t>FORNECEDOR</t>
        </is>
      </c>
      <c r="L4" s="38" t="inlineStr">
        <is>
          <t>OBS</t>
        </is>
      </c>
      <c r="M4" s="1" t="n"/>
    </row>
    <row r="5" ht="18" customHeight="1">
      <c r="A5" s="1" t="n"/>
      <c r="B5" s="39" t="inlineStr">
        <is>
          <t>Tinta Preta</t>
        </is>
      </c>
      <c r="C5" s="39" t="inlineStr">
        <is>
          <t>Tinta</t>
        </is>
      </c>
      <c r="D5" s="39" t="n">
        <v>5</v>
      </c>
      <c r="E5" s="40" t="inlineStr">
        <is>
          <t>frascos</t>
        </is>
      </c>
      <c r="F5" s="40" t="n">
        <v>45</v>
      </c>
      <c r="G5" s="39">
        <f>C5*E5</f>
        <v/>
      </c>
      <c r="H5" s="39" t="n">
        <v>3</v>
      </c>
      <c r="I5" s="39">
        <f>IF(C5&lt;=G5,"🔴 REPOR JÁ",IF(C5&lt;=G5*1.5,"🟡 ATENÇÃO","🟢 OK"))</f>
        <v/>
      </c>
      <c r="J5" s="39" t="inlineStr"/>
      <c r="K5" s="39" t="inlineStr"/>
      <c r="L5" s="39" t="inlineStr"/>
      <c r="M5" s="1" t="n"/>
    </row>
    <row r="6" ht="18" customHeight="1">
      <c r="A6" s="1" t="n"/>
      <c r="B6" s="33" t="inlineStr">
        <is>
          <t>Tinta Colorida Vermelha</t>
        </is>
      </c>
      <c r="C6" s="33" t="inlineStr">
        <is>
          <t>Tinta</t>
        </is>
      </c>
      <c r="D6" s="33" t="n">
        <v>3</v>
      </c>
      <c r="E6" s="42" t="inlineStr">
        <is>
          <t>frascos</t>
        </is>
      </c>
      <c r="F6" s="42" t="n">
        <v>38</v>
      </c>
      <c r="G6" s="33">
        <f>C6*E6</f>
        <v/>
      </c>
      <c r="H6" s="33" t="n">
        <v>3</v>
      </c>
      <c r="I6" s="33">
        <f>IF(C6&lt;=G6,"🔴 REPOR JÁ",IF(C6&lt;=G6*1.5,"🟡 ATENÇÃO","🟢 OK"))</f>
        <v/>
      </c>
      <c r="J6" s="33" t="inlineStr"/>
      <c r="K6" s="33" t="inlineStr"/>
      <c r="L6" s="33" t="inlineStr"/>
      <c r="M6" s="1" t="n"/>
    </row>
    <row r="7" ht="18" customHeight="1">
      <c r="A7" s="1" t="n"/>
      <c r="B7" s="39" t="inlineStr">
        <is>
          <t>Tinta Colorida Azul</t>
        </is>
      </c>
      <c r="C7" s="39" t="inlineStr">
        <is>
          <t>Tinta</t>
        </is>
      </c>
      <c r="D7" s="39" t="n">
        <v>3</v>
      </c>
      <c r="E7" s="40" t="inlineStr">
        <is>
          <t>frascos</t>
        </is>
      </c>
      <c r="F7" s="40" t="n">
        <v>38</v>
      </c>
      <c r="G7" s="39">
        <f>C7*E7</f>
        <v/>
      </c>
      <c r="H7" s="39" t="n">
        <v>3</v>
      </c>
      <c r="I7" s="39">
        <f>IF(C7&lt;=G7,"🔴 REPOR JÁ",IF(C7&lt;=G7*1.5,"🟡 ATENÇÃO","🟢 OK"))</f>
        <v/>
      </c>
      <c r="J7" s="39" t="inlineStr"/>
      <c r="K7" s="39" t="inlineStr"/>
      <c r="L7" s="39" t="inlineStr"/>
      <c r="M7" s="1" t="n"/>
    </row>
    <row r="8" ht="18" customHeight="1">
      <c r="A8" s="1" t="n"/>
      <c r="B8" s="33" t="inlineStr">
        <is>
          <t>Agulhas Liner 3RL</t>
        </is>
      </c>
      <c r="C8" s="33" t="inlineStr">
        <is>
          <t>Agulhas</t>
        </is>
      </c>
      <c r="D8" s="33" t="n">
        <v>50</v>
      </c>
      <c r="E8" s="42" t="inlineStr">
        <is>
          <t>un</t>
        </is>
      </c>
      <c r="F8" s="42" t="n">
        <v>2.5</v>
      </c>
      <c r="G8" s="33">
        <f>C8*E8</f>
        <v/>
      </c>
      <c r="H8" s="33" t="n">
        <v>3</v>
      </c>
      <c r="I8" s="33">
        <f>IF(C8&lt;=G8,"🔴 REPOR JÁ",IF(C8&lt;=G8*1.5,"🟡 ATENÇÃO","🟢 OK"))</f>
        <v/>
      </c>
      <c r="J8" s="33" t="inlineStr"/>
      <c r="K8" s="33" t="inlineStr"/>
      <c r="L8" s="33" t="inlineStr"/>
      <c r="M8" s="1" t="n"/>
    </row>
    <row r="9" ht="18" customHeight="1">
      <c r="A9" s="1" t="n"/>
      <c r="B9" s="39" t="inlineStr">
        <is>
          <t>Agulhas Liner 5RL</t>
        </is>
      </c>
      <c r="C9" s="39" t="inlineStr">
        <is>
          <t>Agulhas</t>
        </is>
      </c>
      <c r="D9" s="39" t="n">
        <v>50</v>
      </c>
      <c r="E9" s="40" t="inlineStr">
        <is>
          <t>un</t>
        </is>
      </c>
      <c r="F9" s="40" t="n">
        <v>2.5</v>
      </c>
      <c r="G9" s="39">
        <f>C9*E9</f>
        <v/>
      </c>
      <c r="H9" s="39" t="n">
        <v>3</v>
      </c>
      <c r="I9" s="39">
        <f>IF(C9&lt;=G9,"🔴 REPOR JÁ",IF(C9&lt;=G9*1.5,"🟡 ATENÇÃO","🟢 OK"))</f>
        <v/>
      </c>
      <c r="J9" s="39" t="inlineStr"/>
      <c r="K9" s="39" t="inlineStr"/>
      <c r="L9" s="39" t="inlineStr"/>
      <c r="M9" s="1" t="n"/>
    </row>
    <row r="10" ht="18" customHeight="1">
      <c r="A10" s="1" t="n"/>
      <c r="B10" s="33" t="inlineStr">
        <is>
          <t>Agulhas Shader 7M</t>
        </is>
      </c>
      <c r="C10" s="33" t="inlineStr">
        <is>
          <t>Agulhas</t>
        </is>
      </c>
      <c r="D10" s="33" t="n">
        <v>30</v>
      </c>
      <c r="E10" s="42" t="inlineStr">
        <is>
          <t>un</t>
        </is>
      </c>
      <c r="F10" s="42" t="n">
        <v>2.8</v>
      </c>
      <c r="G10" s="33">
        <f>C10*E10</f>
        <v/>
      </c>
      <c r="H10" s="33" t="n">
        <v>3</v>
      </c>
      <c r="I10" s="33">
        <f>IF(C10&lt;=G10,"🔴 REPOR JÁ",IF(C10&lt;=G10*1.5,"🟡 ATENÇÃO","🟢 OK"))</f>
        <v/>
      </c>
      <c r="J10" s="33" t="inlineStr"/>
      <c r="K10" s="33" t="inlineStr"/>
      <c r="L10" s="33" t="inlineStr"/>
      <c r="M10" s="1" t="n"/>
    </row>
    <row r="11" ht="18" customHeight="1">
      <c r="A11" s="1" t="n"/>
      <c r="B11" s="39" t="inlineStr">
        <is>
          <t>Agulhas Magnum 15M</t>
        </is>
      </c>
      <c r="C11" s="39" t="inlineStr">
        <is>
          <t>Agulhas</t>
        </is>
      </c>
      <c r="D11" s="39" t="n">
        <v>20</v>
      </c>
      <c r="E11" s="40" t="inlineStr">
        <is>
          <t>un</t>
        </is>
      </c>
      <c r="F11" s="40" t="n">
        <v>3.2</v>
      </c>
      <c r="G11" s="39">
        <f>C11*E11</f>
        <v/>
      </c>
      <c r="H11" s="39" t="n">
        <v>3</v>
      </c>
      <c r="I11" s="39">
        <f>IF(C11&lt;=G11,"🔴 REPOR JÁ",IF(C11&lt;=G11*1.5,"🟡 ATENÇÃO","🟢 OK"))</f>
        <v/>
      </c>
      <c r="J11" s="39" t="inlineStr"/>
      <c r="K11" s="39" t="inlineStr"/>
      <c r="L11" s="39" t="inlineStr"/>
      <c r="M11" s="1" t="n"/>
    </row>
    <row r="12" ht="18" customHeight="1">
      <c r="A12" s="1" t="n"/>
      <c r="B12" s="33" t="inlineStr">
        <is>
          <t>Película de Proteção</t>
        </is>
      </c>
      <c r="C12" s="33" t="inlineStr">
        <is>
          <t>Proteção</t>
        </is>
      </c>
      <c r="D12" s="33" t="n">
        <v>100</v>
      </c>
      <c r="E12" s="42" t="inlineStr">
        <is>
          <t>metros</t>
        </is>
      </c>
      <c r="F12" s="42" t="n">
        <v>1.8</v>
      </c>
      <c r="G12" s="33">
        <f>C12*E12</f>
        <v/>
      </c>
      <c r="H12" s="33" t="n">
        <v>3</v>
      </c>
      <c r="I12" s="33">
        <f>IF(C12&lt;=G12,"🔴 REPOR JÁ",IF(C12&lt;=G12*1.5,"🟡 ATENÇÃO","🟢 OK"))</f>
        <v/>
      </c>
      <c r="J12" s="33" t="inlineStr"/>
      <c r="K12" s="33" t="inlineStr"/>
      <c r="L12" s="33" t="inlineStr"/>
      <c r="M12" s="1" t="n"/>
    </row>
    <row r="13" ht="18" customHeight="1">
      <c r="A13" s="1" t="n"/>
      <c r="B13" s="39" t="inlineStr">
        <is>
          <t>Luvas Nitrila P</t>
        </is>
      </c>
      <c r="C13" s="39" t="inlineStr">
        <is>
          <t>Segurança</t>
        </is>
      </c>
      <c r="D13" s="39" t="n">
        <v>2</v>
      </c>
      <c r="E13" s="40" t="inlineStr">
        <is>
          <t>caixas</t>
        </is>
      </c>
      <c r="F13" s="40" t="n">
        <v>35</v>
      </c>
      <c r="G13" s="39">
        <f>C13*E13</f>
        <v/>
      </c>
      <c r="H13" s="39" t="n">
        <v>3</v>
      </c>
      <c r="I13" s="39">
        <f>IF(C13&lt;=G13,"🔴 REPOR JÁ",IF(C13&lt;=G13*1.5,"🟡 ATENÇÃO","🟢 OK"))</f>
        <v/>
      </c>
      <c r="J13" s="39" t="inlineStr"/>
      <c r="K13" s="39" t="inlineStr"/>
      <c r="L13" s="39" t="inlineStr"/>
      <c r="M13" s="1" t="n"/>
    </row>
    <row r="14" ht="18" customHeight="1">
      <c r="A14" s="1" t="n"/>
      <c r="B14" s="33" t="inlineStr">
        <is>
          <t>Luvas Nitrila M</t>
        </is>
      </c>
      <c r="C14" s="33" t="inlineStr">
        <is>
          <t>Segurança</t>
        </is>
      </c>
      <c r="D14" s="33" t="n">
        <v>2</v>
      </c>
      <c r="E14" s="42" t="inlineStr">
        <is>
          <t>caixas</t>
        </is>
      </c>
      <c r="F14" s="42" t="n">
        <v>35</v>
      </c>
      <c r="G14" s="33">
        <f>C14*E14</f>
        <v/>
      </c>
      <c r="H14" s="33" t="n">
        <v>3</v>
      </c>
      <c r="I14" s="33">
        <f>IF(C14&lt;=G14,"🔴 REPOR JÁ",IF(C14&lt;=G14*1.5,"🟡 ATENÇÃO","🟢 OK"))</f>
        <v/>
      </c>
      <c r="J14" s="33" t="inlineStr"/>
      <c r="K14" s="33" t="inlineStr"/>
      <c r="L14" s="33" t="inlineStr"/>
      <c r="M14" s="1" t="n"/>
    </row>
    <row r="15" ht="18" customHeight="1">
      <c r="A15" s="1" t="n"/>
      <c r="B15" s="39" t="inlineStr">
        <is>
          <t>Luvas Nitrila G</t>
        </is>
      </c>
      <c r="C15" s="39" t="inlineStr">
        <is>
          <t>Segurança</t>
        </is>
      </c>
      <c r="D15" s="39" t="n">
        <v>1</v>
      </c>
      <c r="E15" s="40" t="inlineStr">
        <is>
          <t>caixas</t>
        </is>
      </c>
      <c r="F15" s="40" t="n">
        <v>35</v>
      </c>
      <c r="G15" s="39">
        <f>C15*E15</f>
        <v/>
      </c>
      <c r="H15" s="39" t="n">
        <v>3</v>
      </c>
      <c r="I15" s="39">
        <f>IF(C15&lt;=G15,"🔴 REPOR JÁ",IF(C15&lt;=G15*1.5,"🟡 ATENÇÃO","🟢 OK"))</f>
        <v/>
      </c>
      <c r="J15" s="39" t="inlineStr"/>
      <c r="K15" s="39" t="inlineStr"/>
      <c r="L15" s="39" t="inlineStr"/>
      <c r="M15" s="1" t="n"/>
    </row>
    <row r="16" ht="18" customHeight="1">
      <c r="A16" s="1" t="n"/>
      <c r="B16" s="33" t="inlineStr">
        <is>
          <t>Vaselina</t>
        </is>
      </c>
      <c r="C16" s="33" t="inlineStr">
        <is>
          <t>Consumível</t>
        </is>
      </c>
      <c r="D16" s="33" t="n">
        <v>10</v>
      </c>
      <c r="E16" s="42" t="inlineStr">
        <is>
          <t>potes</t>
        </is>
      </c>
      <c r="F16" s="42" t="n">
        <v>8</v>
      </c>
      <c r="G16" s="33">
        <f>C16*E16</f>
        <v/>
      </c>
      <c r="H16" s="33" t="n">
        <v>3</v>
      </c>
      <c r="I16" s="33">
        <f>IF(C16&lt;=G16,"🔴 REPOR JÁ",IF(C16&lt;=G16*1.5,"🟡 ATENÇÃO","🟢 OK"))</f>
        <v/>
      </c>
      <c r="J16" s="33" t="inlineStr"/>
      <c r="K16" s="33" t="inlineStr"/>
      <c r="L16" s="33" t="inlineStr"/>
      <c r="M16" s="1" t="n"/>
    </row>
    <row r="17" ht="18" customHeight="1">
      <c r="A17" s="1" t="n"/>
      <c r="B17" s="39" t="inlineStr">
        <is>
          <t>Sabão Antisséptico</t>
        </is>
      </c>
      <c r="C17" s="39" t="inlineStr">
        <is>
          <t>Higiene</t>
        </is>
      </c>
      <c r="D17" s="39" t="n">
        <v>3</v>
      </c>
      <c r="E17" s="40" t="inlineStr">
        <is>
          <t>litros</t>
        </is>
      </c>
      <c r="F17" s="40" t="n">
        <v>22</v>
      </c>
      <c r="G17" s="39">
        <f>C17*E17</f>
        <v/>
      </c>
      <c r="H17" s="39" t="n">
        <v>3</v>
      </c>
      <c r="I17" s="39">
        <f>IF(C17&lt;=G17,"🔴 REPOR JÁ",IF(C17&lt;=G17*1.5,"🟡 ATENÇÃO","🟢 OK"))</f>
        <v/>
      </c>
      <c r="J17" s="39" t="inlineStr"/>
      <c r="K17" s="39" t="inlineStr"/>
      <c r="L17" s="39" t="inlineStr"/>
      <c r="M17" s="1" t="n"/>
    </row>
    <row r="18" ht="18" customHeight="1">
      <c r="A18" s="1" t="n"/>
      <c r="B18" s="33" t="inlineStr">
        <is>
          <t>Papel Toalha</t>
        </is>
      </c>
      <c r="C18" s="33" t="inlineStr">
        <is>
          <t>Higiene</t>
        </is>
      </c>
      <c r="D18" s="33" t="n">
        <v>5</v>
      </c>
      <c r="E18" s="42" t="inlineStr">
        <is>
          <t>rolos</t>
        </is>
      </c>
      <c r="F18" s="42" t="n">
        <v>4.5</v>
      </c>
      <c r="G18" s="33">
        <f>C18*E18</f>
        <v/>
      </c>
      <c r="H18" s="33" t="n">
        <v>3</v>
      </c>
      <c r="I18" s="33">
        <f>IF(C18&lt;=G18,"🔴 REPOR JÁ",IF(C18&lt;=G18*1.5,"🟡 ATENÇÃO","🟢 OK"))</f>
        <v/>
      </c>
      <c r="J18" s="33" t="inlineStr"/>
      <c r="K18" s="33" t="inlineStr"/>
      <c r="L18" s="33" t="inlineStr"/>
      <c r="M18" s="1" t="n"/>
    </row>
    <row r="19" ht="18" customHeight="1">
      <c r="A19" s="1" t="n"/>
      <c r="B19" s="39" t="inlineStr">
        <is>
          <t>Papel Filme</t>
        </is>
      </c>
      <c r="C19" s="39" t="inlineStr">
        <is>
          <t>Consumível</t>
        </is>
      </c>
      <c r="D19" s="39" t="n">
        <v>3</v>
      </c>
      <c r="E19" s="40" t="inlineStr">
        <is>
          <t>rolos</t>
        </is>
      </c>
      <c r="F19" s="40" t="n">
        <v>12</v>
      </c>
      <c r="G19" s="39">
        <f>C19*E19</f>
        <v/>
      </c>
      <c r="H19" s="39" t="n">
        <v>3</v>
      </c>
      <c r="I19" s="39">
        <f>IF(C19&lt;=G19,"🔴 REPOR JÁ",IF(C19&lt;=G19*1.5,"🟡 ATENÇÃO","🟢 OK"))</f>
        <v/>
      </c>
      <c r="J19" s="39" t="inlineStr"/>
      <c r="K19" s="39" t="inlineStr"/>
      <c r="L19" s="39" t="inlineStr"/>
      <c r="M19" s="1" t="n"/>
    </row>
    <row r="20" ht="18" customHeight="1">
      <c r="A20" s="1" t="n"/>
      <c r="B20" s="33" t="inlineStr">
        <is>
          <t>Spray Clorexidina</t>
        </is>
      </c>
      <c r="C20" s="33" t="inlineStr">
        <is>
          <t>Higiene</t>
        </is>
      </c>
      <c r="D20" s="33" t="n">
        <v>4</v>
      </c>
      <c r="E20" s="42" t="inlineStr">
        <is>
          <t>frascos</t>
        </is>
      </c>
      <c r="F20" s="42" t="n">
        <v>18</v>
      </c>
      <c r="G20" s="33">
        <f>C20*E20</f>
        <v/>
      </c>
      <c r="H20" s="33" t="n">
        <v>3</v>
      </c>
      <c r="I20" s="33">
        <f>IF(C20&lt;=G20,"🔴 REPOR JÁ",IF(C20&lt;=G20*1.5,"🟡 ATENÇÃO","🟢 OK"))</f>
        <v/>
      </c>
      <c r="J20" s="33" t="inlineStr"/>
      <c r="K20" s="33" t="inlineStr"/>
      <c r="L20" s="33" t="inlineStr"/>
      <c r="M20" s="1" t="n"/>
    </row>
    <row r="21" ht="18" customHeight="1">
      <c r="A21" s="1" t="n"/>
      <c r="B21" s="39" t="inlineStr">
        <is>
          <t>Dermografo</t>
        </is>
      </c>
      <c r="C21" s="39" t="inlineStr">
        <is>
          <t>Equipamento</t>
        </is>
      </c>
      <c r="D21" s="39" t="n">
        <v>2</v>
      </c>
      <c r="E21" s="40" t="inlineStr">
        <is>
          <t>un</t>
        </is>
      </c>
      <c r="F21" s="40" t="n">
        <v>280</v>
      </c>
      <c r="G21" s="39">
        <f>C21*E21</f>
        <v/>
      </c>
      <c r="H21" s="39" t="n">
        <v>3</v>
      </c>
      <c r="I21" s="39">
        <f>IF(C21&lt;=G21,"🔴 REPOR JÁ",IF(C21&lt;=G21*1.5,"🟡 ATENÇÃO","🟢 OK"))</f>
        <v/>
      </c>
      <c r="J21" s="39" t="inlineStr"/>
      <c r="K21" s="39" t="inlineStr"/>
      <c r="L21" s="39" t="inlineStr"/>
      <c r="M21" s="1" t="n"/>
    </row>
    <row r="22" ht="18" customHeight="1">
      <c r="A22" s="1" t="n"/>
      <c r="B22" s="33" t="inlineStr">
        <is>
          <t>Cartucho Agulha Mista</t>
        </is>
      </c>
      <c r="C22" s="33" t="inlineStr">
        <is>
          <t>Agulhas</t>
        </is>
      </c>
      <c r="D22" s="33" t="n">
        <v>40</v>
      </c>
      <c r="E22" s="42" t="inlineStr">
        <is>
          <t>un</t>
        </is>
      </c>
      <c r="F22" s="42" t="n">
        <v>4.5</v>
      </c>
      <c r="G22" s="33">
        <f>C22*E22</f>
        <v/>
      </c>
      <c r="H22" s="33" t="n">
        <v>3</v>
      </c>
      <c r="I22" s="33">
        <f>IF(C22&lt;=G22,"🔴 REPOR JÁ",IF(C22&lt;=G22*1.5,"🟡 ATENÇÃO","🟢 OK"))</f>
        <v/>
      </c>
      <c r="J22" s="33" t="inlineStr"/>
      <c r="K22" s="33" t="inlineStr"/>
      <c r="L22" s="33" t="inlineStr"/>
      <c r="M22" s="1" t="n"/>
    </row>
    <row r="23" ht="18" customHeight="1">
      <c r="A23" s="1" t="n"/>
      <c r="B23" s="39" t="inlineStr">
        <is>
          <t>Green Soap</t>
        </is>
      </c>
      <c r="C23" s="39" t="inlineStr">
        <is>
          <t>Higiene</t>
        </is>
      </c>
      <c r="D23" s="39" t="n">
        <v>2</v>
      </c>
      <c r="E23" s="40" t="inlineStr">
        <is>
          <t>litros</t>
        </is>
      </c>
      <c r="F23" s="40" t="n">
        <v>35</v>
      </c>
      <c r="G23" s="39">
        <f>C23*E23</f>
        <v/>
      </c>
      <c r="H23" s="39" t="n">
        <v>3</v>
      </c>
      <c r="I23" s="39">
        <f>IF(C23&lt;=G23,"🔴 REPOR JÁ",IF(C23&lt;=G23*1.5,"🟡 ATENÇÃO","🟢 OK"))</f>
        <v/>
      </c>
      <c r="J23" s="39" t="inlineStr"/>
      <c r="K23" s="39" t="inlineStr"/>
      <c r="L23" s="39" t="inlineStr"/>
      <c r="M23" s="1" t="n"/>
    </row>
    <row r="24" ht="18" customHeight="1">
      <c r="A24" s="1" t="n"/>
      <c r="B24" s="33" t="inlineStr">
        <is>
          <t>Papel Hectográfico</t>
        </is>
      </c>
      <c r="C24" s="33" t="inlineStr">
        <is>
          <t>Consumível</t>
        </is>
      </c>
      <c r="D24" s="33" t="n">
        <v>100</v>
      </c>
      <c r="E24" s="42" t="inlineStr">
        <is>
          <t>folhas</t>
        </is>
      </c>
      <c r="F24" s="42" t="n">
        <v>0.8</v>
      </c>
      <c r="G24" s="33">
        <f>C24*E24</f>
        <v/>
      </c>
      <c r="H24" s="33" t="n">
        <v>3</v>
      </c>
      <c r="I24" s="33">
        <f>IF(C24&lt;=G24,"🔴 REPOR JÁ",IF(C24&lt;=G24*1.5,"🟡 ATENÇÃO","🟢 OK"))</f>
        <v/>
      </c>
      <c r="J24" s="33" t="inlineStr"/>
      <c r="K24" s="33" t="inlineStr"/>
      <c r="L24" s="33" t="inlineStr"/>
      <c r="M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26" customHeight="1">
      <c r="A26" s="1" t="n"/>
      <c r="B26" s="44" t="inlineStr">
        <is>
          <t>VALOR TOTAL DO ESTOQUE</t>
        </is>
      </c>
      <c r="F26" s="82">
        <f>SUM(F5:F25)</f>
        <v/>
      </c>
      <c r="G26" s="1" t="n"/>
      <c r="H26" s="1" t="n"/>
      <c r="I26" s="1" t="n"/>
      <c r="J26" s="1" t="n"/>
      <c r="K26" s="1" t="n"/>
      <c r="L26" s="1" t="n"/>
      <c r="M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</row>
  </sheetData>
  <mergeCells count="2">
    <mergeCell ref="B26:E26"/>
    <mergeCell ref="B2:M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498DB"/>
    <outlinePr summaryBelow="1" summaryRight="1"/>
    <pageSetUpPr/>
  </sheetPr>
  <dimension ref="A1:O1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4" customWidth="1" min="3" max="3"/>
    <col width="14" customWidth="1" min="4" max="4"/>
    <col width="12" customWidth="1" min="5" max="5"/>
    <col width="18" customWidth="1" min="6" max="6"/>
    <col width="14" customWidth="1" min="7" max="7"/>
    <col width="14" customWidth="1" min="8" max="8"/>
    <col width="22" customWidth="1" min="9" max="9"/>
    <col width="22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5" customHeight="1">
      <c r="A2" s="1" t="n"/>
      <c r="B2" s="37" t="inlineStr">
        <is>
          <t>🎯  PIPELINE DE LEADS — CENTRAL TATTOO</t>
        </is>
      </c>
      <c r="O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22" customHeight="1">
      <c r="A4" s="1" t="n"/>
      <c r="B4" s="36" t="inlineStr">
        <is>
          <t>TOTAL LEADS</t>
        </is>
      </c>
      <c r="E4" s="36" t="inlineStr">
        <is>
          <t>ORÇAMENTOS</t>
        </is>
      </c>
      <c r="H4" s="36" t="inlineStr">
        <is>
          <t>CONFIRMADOS</t>
        </is>
      </c>
      <c r="K4" s="36" t="inlineStr">
        <is>
          <t>PERDIDOS</t>
        </is>
      </c>
      <c r="N4" s="1" t="n"/>
      <c r="O4" s="1" t="n"/>
    </row>
    <row r="5" ht="36" customHeight="1">
      <c r="A5" s="1" t="n"/>
      <c r="B5" s="83">
        <f>COUNTA(B9:B108)</f>
        <v/>
      </c>
      <c r="E5" s="84">
        <f>COUNTIF(F9:F108,"Orçamento")</f>
        <v/>
      </c>
      <c r="H5" s="85">
        <f>COUNTIF(F9:F108,"Confirmado")</f>
        <v/>
      </c>
      <c r="K5" s="86">
        <f>COUNTIF(F9:F108,"Perdido")</f>
        <v/>
      </c>
      <c r="N5" s="1" t="n"/>
      <c r="O5" s="1" t="n"/>
    </row>
    <row r="6" ht="22" customHeight="1">
      <c r="A6" s="1" t="n"/>
      <c r="B6" s="87" t="n"/>
      <c r="E6" s="88" t="n"/>
      <c r="H6" s="20" t="n"/>
      <c r="K6" s="21" t="n"/>
      <c r="N6" s="1" t="n"/>
      <c r="O6" s="1" t="n"/>
    </row>
    <row r="7" ht="8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</row>
    <row r="8" ht="22" customHeight="1">
      <c r="A8" s="1" t="n"/>
      <c r="B8" s="38" t="inlineStr">
        <is>
          <t>NOME</t>
        </is>
      </c>
      <c r="C8" s="38" t="inlineStr">
        <is>
          <t>TELEFONE</t>
        </is>
      </c>
      <c r="D8" s="38" t="inlineStr">
        <is>
          <t>ORIGEM</t>
        </is>
      </c>
      <c r="E8" s="38" t="inlineStr">
        <is>
          <t>DATA ENTRADA</t>
        </is>
      </c>
      <c r="F8" s="38" t="inlineStr">
        <is>
          <t>ESTILO INTERESSE</t>
        </is>
      </c>
      <c r="G8" s="38" t="inlineStr">
        <is>
          <t>STATUS</t>
        </is>
      </c>
      <c r="H8" s="38" t="inlineStr">
        <is>
          <t>VALOR ESTIMADO</t>
        </is>
      </c>
      <c r="I8" s="38" t="inlineStr">
        <is>
          <t>OBS</t>
        </is>
      </c>
      <c r="J8" s="38" t="inlineStr">
        <is>
          <t>PRÓX. AÇÃO</t>
        </is>
      </c>
      <c r="K8" s="1" t="n"/>
      <c r="L8" s="1" t="n"/>
      <c r="M8" s="1" t="n"/>
      <c r="N8" s="1" t="n"/>
      <c r="O8" s="1" t="n"/>
    </row>
    <row r="9" ht="18" customHeight="1">
      <c r="A9" s="1" t="n"/>
      <c r="B9" s="39" t="n"/>
      <c r="C9" s="39" t="n"/>
      <c r="D9" s="39" t="n"/>
      <c r="E9" s="39" t="n"/>
      <c r="F9" s="39" t="n"/>
      <c r="G9" s="39" t="n"/>
      <c r="H9" s="40" t="n"/>
      <c r="I9" s="39" t="n"/>
      <c r="J9" s="39" t="n"/>
      <c r="K9" s="1" t="n"/>
      <c r="L9" s="1" t="n"/>
      <c r="M9" s="1" t="n"/>
      <c r="N9" s="1" t="n"/>
      <c r="O9" s="1" t="n"/>
    </row>
    <row r="10" ht="18" customHeight="1">
      <c r="A10" s="1" t="n"/>
      <c r="B10" s="33" t="n"/>
      <c r="C10" s="33" t="n"/>
      <c r="D10" s="33" t="n"/>
      <c r="E10" s="33" t="n"/>
      <c r="F10" s="33" t="n"/>
      <c r="G10" s="33" t="n"/>
      <c r="H10" s="42" t="n"/>
      <c r="I10" s="33" t="n"/>
      <c r="J10" s="33" t="n"/>
      <c r="K10" s="1" t="n"/>
      <c r="L10" s="1" t="n"/>
      <c r="M10" s="1" t="n"/>
      <c r="N10" s="1" t="n"/>
      <c r="O10" s="1" t="n"/>
    </row>
    <row r="11" ht="18" customHeight="1">
      <c r="A11" s="1" t="n"/>
      <c r="B11" s="39" t="n"/>
      <c r="C11" s="39" t="n"/>
      <c r="D11" s="39" t="n"/>
      <c r="E11" s="39" t="n"/>
      <c r="F11" s="39" t="n"/>
      <c r="G11" s="39" t="n"/>
      <c r="H11" s="40" t="n"/>
      <c r="I11" s="39" t="n"/>
      <c r="J11" s="39" t="n"/>
      <c r="K11" s="1" t="n"/>
      <c r="L11" s="1" t="n"/>
      <c r="M11" s="1" t="n"/>
      <c r="N11" s="1" t="n"/>
      <c r="O11" s="1" t="n"/>
    </row>
    <row r="12" ht="18" customHeight="1">
      <c r="A12" s="1" t="n"/>
      <c r="B12" s="33" t="n"/>
      <c r="C12" s="33" t="n"/>
      <c r="D12" s="33" t="n"/>
      <c r="E12" s="33" t="n"/>
      <c r="F12" s="33" t="n"/>
      <c r="G12" s="33" t="n"/>
      <c r="H12" s="42" t="n"/>
      <c r="I12" s="33" t="n"/>
      <c r="J12" s="33" t="n"/>
      <c r="K12" s="1" t="n"/>
      <c r="L12" s="1" t="n"/>
      <c r="M12" s="1" t="n"/>
      <c r="N12" s="1" t="n"/>
      <c r="O12" s="1" t="n"/>
    </row>
    <row r="13" ht="18" customHeight="1">
      <c r="A13" s="1" t="n"/>
      <c r="B13" s="39" t="n"/>
      <c r="C13" s="39" t="n"/>
      <c r="D13" s="39" t="n"/>
      <c r="E13" s="39" t="n"/>
      <c r="F13" s="39" t="n"/>
      <c r="G13" s="39" t="n"/>
      <c r="H13" s="40" t="n"/>
      <c r="I13" s="39" t="n"/>
      <c r="J13" s="39" t="n"/>
      <c r="K13" s="1" t="n"/>
      <c r="L13" s="1" t="n"/>
      <c r="M13" s="1" t="n"/>
      <c r="N13" s="1" t="n"/>
      <c r="O13" s="1" t="n"/>
    </row>
    <row r="14" ht="18" customHeight="1">
      <c r="A14" s="1" t="n"/>
      <c r="B14" s="33" t="n"/>
      <c r="C14" s="33" t="n"/>
      <c r="D14" s="33" t="n"/>
      <c r="E14" s="33" t="n"/>
      <c r="F14" s="33" t="n"/>
      <c r="G14" s="33" t="n"/>
      <c r="H14" s="42" t="n"/>
      <c r="I14" s="33" t="n"/>
      <c r="J14" s="33" t="n"/>
      <c r="K14" s="1" t="n"/>
      <c r="L14" s="1" t="n"/>
      <c r="M14" s="1" t="n"/>
      <c r="N14" s="1" t="n"/>
      <c r="O14" s="1" t="n"/>
    </row>
    <row r="15" ht="18" customHeight="1">
      <c r="A15" s="1" t="n"/>
      <c r="B15" s="39" t="n"/>
      <c r="C15" s="39" t="n"/>
      <c r="D15" s="39" t="n"/>
      <c r="E15" s="39" t="n"/>
      <c r="F15" s="39" t="n"/>
      <c r="G15" s="39" t="n"/>
      <c r="H15" s="40" t="n"/>
      <c r="I15" s="39" t="n"/>
      <c r="J15" s="39" t="n"/>
      <c r="K15" s="1" t="n"/>
      <c r="L15" s="1" t="n"/>
      <c r="M15" s="1" t="n"/>
      <c r="N15" s="1" t="n"/>
      <c r="O15" s="1" t="n"/>
    </row>
    <row r="16" ht="18" customHeight="1">
      <c r="A16" s="1" t="n"/>
      <c r="B16" s="33" t="n"/>
      <c r="C16" s="33" t="n"/>
      <c r="D16" s="33" t="n"/>
      <c r="E16" s="33" t="n"/>
      <c r="F16" s="33" t="n"/>
      <c r="G16" s="33" t="n"/>
      <c r="H16" s="42" t="n"/>
      <c r="I16" s="33" t="n"/>
      <c r="J16" s="33" t="n"/>
      <c r="K16" s="1" t="n"/>
      <c r="L16" s="1" t="n"/>
      <c r="M16" s="1" t="n"/>
      <c r="N16" s="1" t="n"/>
      <c r="O16" s="1" t="n"/>
    </row>
    <row r="17" ht="18" customHeight="1">
      <c r="A17" s="1" t="n"/>
      <c r="B17" s="39" t="n"/>
      <c r="C17" s="39" t="n"/>
      <c r="D17" s="39" t="n"/>
      <c r="E17" s="39" t="n"/>
      <c r="F17" s="39" t="n"/>
      <c r="G17" s="39" t="n"/>
      <c r="H17" s="40" t="n"/>
      <c r="I17" s="39" t="n"/>
      <c r="J17" s="39" t="n"/>
      <c r="K17" s="1" t="n"/>
      <c r="L17" s="1" t="n"/>
      <c r="M17" s="1" t="n"/>
      <c r="N17" s="1" t="n"/>
      <c r="O17" s="1" t="n"/>
    </row>
    <row r="18" ht="18" customHeight="1">
      <c r="A18" s="1" t="n"/>
      <c r="B18" s="33" t="n"/>
      <c r="C18" s="33" t="n"/>
      <c r="D18" s="33" t="n"/>
      <c r="E18" s="33" t="n"/>
      <c r="F18" s="33" t="n"/>
      <c r="G18" s="33" t="n"/>
      <c r="H18" s="42" t="n"/>
      <c r="I18" s="33" t="n"/>
      <c r="J18" s="33" t="n"/>
      <c r="K18" s="1" t="n"/>
      <c r="L18" s="1" t="n"/>
      <c r="M18" s="1" t="n"/>
      <c r="N18" s="1" t="n"/>
      <c r="O18" s="1" t="n"/>
    </row>
    <row r="19" ht="18" customHeight="1">
      <c r="A19" s="1" t="n"/>
      <c r="B19" s="39" t="n"/>
      <c r="C19" s="39" t="n"/>
      <c r="D19" s="39" t="n"/>
      <c r="E19" s="39" t="n"/>
      <c r="F19" s="39" t="n"/>
      <c r="G19" s="39" t="n"/>
      <c r="H19" s="40" t="n"/>
      <c r="I19" s="39" t="n"/>
      <c r="J19" s="39" t="n"/>
      <c r="K19" s="1" t="n"/>
      <c r="L19" s="1" t="n"/>
      <c r="M19" s="1" t="n"/>
      <c r="N19" s="1" t="n"/>
      <c r="O19" s="1" t="n"/>
    </row>
    <row r="20" ht="18" customHeight="1">
      <c r="A20" s="1" t="n"/>
      <c r="B20" s="33" t="n"/>
      <c r="C20" s="33" t="n"/>
      <c r="D20" s="33" t="n"/>
      <c r="E20" s="33" t="n"/>
      <c r="F20" s="33" t="n"/>
      <c r="G20" s="33" t="n"/>
      <c r="H20" s="42" t="n"/>
      <c r="I20" s="33" t="n"/>
      <c r="J20" s="33" t="n"/>
      <c r="K20" s="1" t="n"/>
      <c r="L20" s="1" t="n"/>
      <c r="M20" s="1" t="n"/>
      <c r="N20" s="1" t="n"/>
      <c r="O20" s="1" t="n"/>
    </row>
    <row r="21" ht="18" customHeight="1">
      <c r="A21" s="1" t="n"/>
      <c r="B21" s="39" t="n"/>
      <c r="C21" s="39" t="n"/>
      <c r="D21" s="39" t="n"/>
      <c r="E21" s="39" t="n"/>
      <c r="F21" s="39" t="n"/>
      <c r="G21" s="39" t="n"/>
      <c r="H21" s="40" t="n"/>
      <c r="I21" s="39" t="n"/>
      <c r="J21" s="39" t="n"/>
      <c r="K21" s="1" t="n"/>
      <c r="L21" s="1" t="n"/>
      <c r="M21" s="1" t="n"/>
      <c r="N21" s="1" t="n"/>
      <c r="O21" s="1" t="n"/>
    </row>
    <row r="22" ht="18" customHeight="1">
      <c r="A22" s="1" t="n"/>
      <c r="B22" s="33" t="n"/>
      <c r="C22" s="33" t="n"/>
      <c r="D22" s="33" t="n"/>
      <c r="E22" s="33" t="n"/>
      <c r="F22" s="33" t="n"/>
      <c r="G22" s="33" t="n"/>
      <c r="H22" s="42" t="n"/>
      <c r="I22" s="33" t="n"/>
      <c r="J22" s="33" t="n"/>
      <c r="K22" s="1" t="n"/>
      <c r="L22" s="1" t="n"/>
      <c r="M22" s="1" t="n"/>
      <c r="N22" s="1" t="n"/>
      <c r="O22" s="1" t="n"/>
    </row>
    <row r="23" ht="18" customHeight="1">
      <c r="A23" s="1" t="n"/>
      <c r="B23" s="39" t="n"/>
      <c r="C23" s="39" t="n"/>
      <c r="D23" s="39" t="n"/>
      <c r="E23" s="39" t="n"/>
      <c r="F23" s="39" t="n"/>
      <c r="G23" s="39" t="n"/>
      <c r="H23" s="40" t="n"/>
      <c r="I23" s="39" t="n"/>
      <c r="J23" s="39" t="n"/>
      <c r="K23" s="1" t="n"/>
      <c r="L23" s="1" t="n"/>
      <c r="M23" s="1" t="n"/>
      <c r="N23" s="1" t="n"/>
      <c r="O23" s="1" t="n"/>
    </row>
    <row r="24" ht="18" customHeight="1">
      <c r="A24" s="1" t="n"/>
      <c r="B24" s="33" t="n"/>
      <c r="C24" s="33" t="n"/>
      <c r="D24" s="33" t="n"/>
      <c r="E24" s="33" t="n"/>
      <c r="F24" s="33" t="n"/>
      <c r="G24" s="33" t="n"/>
      <c r="H24" s="42" t="n"/>
      <c r="I24" s="33" t="n"/>
      <c r="J24" s="33" t="n"/>
      <c r="K24" s="1" t="n"/>
      <c r="L24" s="1" t="n"/>
      <c r="M24" s="1" t="n"/>
      <c r="N24" s="1" t="n"/>
      <c r="O24" s="1" t="n"/>
    </row>
    <row r="25" ht="18" customHeight="1">
      <c r="A25" s="1" t="n"/>
      <c r="B25" s="39" t="n"/>
      <c r="C25" s="39" t="n"/>
      <c r="D25" s="39" t="n"/>
      <c r="E25" s="39" t="n"/>
      <c r="F25" s="39" t="n"/>
      <c r="G25" s="39" t="n"/>
      <c r="H25" s="40" t="n"/>
      <c r="I25" s="39" t="n"/>
      <c r="J25" s="39" t="n"/>
      <c r="K25" s="1" t="n"/>
      <c r="L25" s="1" t="n"/>
      <c r="M25" s="1" t="n"/>
      <c r="N25" s="1" t="n"/>
      <c r="O25" s="1" t="n"/>
    </row>
    <row r="26" ht="18" customHeight="1">
      <c r="A26" s="1" t="n"/>
      <c r="B26" s="33" t="n"/>
      <c r="C26" s="33" t="n"/>
      <c r="D26" s="33" t="n"/>
      <c r="E26" s="33" t="n"/>
      <c r="F26" s="33" t="n"/>
      <c r="G26" s="33" t="n"/>
      <c r="H26" s="42" t="n"/>
      <c r="I26" s="33" t="n"/>
      <c r="J26" s="33" t="n"/>
      <c r="K26" s="1" t="n"/>
      <c r="L26" s="1" t="n"/>
      <c r="M26" s="1" t="n"/>
      <c r="N26" s="1" t="n"/>
      <c r="O26" s="1" t="n"/>
    </row>
    <row r="27" ht="18" customHeight="1">
      <c r="A27" s="1" t="n"/>
      <c r="B27" s="39" t="n"/>
      <c r="C27" s="39" t="n"/>
      <c r="D27" s="39" t="n"/>
      <c r="E27" s="39" t="n"/>
      <c r="F27" s="39" t="n"/>
      <c r="G27" s="39" t="n"/>
      <c r="H27" s="40" t="n"/>
      <c r="I27" s="39" t="n"/>
      <c r="J27" s="39" t="n"/>
      <c r="K27" s="1" t="n"/>
      <c r="L27" s="1" t="n"/>
      <c r="M27" s="1" t="n"/>
      <c r="N27" s="1" t="n"/>
      <c r="O27" s="1" t="n"/>
    </row>
    <row r="28" ht="18" customHeight="1">
      <c r="A28" s="1" t="n"/>
      <c r="B28" s="33" t="n"/>
      <c r="C28" s="33" t="n"/>
      <c r="D28" s="33" t="n"/>
      <c r="E28" s="33" t="n"/>
      <c r="F28" s="33" t="n"/>
      <c r="G28" s="33" t="n"/>
      <c r="H28" s="42" t="n"/>
      <c r="I28" s="33" t="n"/>
      <c r="J28" s="33" t="n"/>
      <c r="K28" s="1" t="n"/>
      <c r="L28" s="1" t="n"/>
      <c r="M28" s="1" t="n"/>
      <c r="N28" s="1" t="n"/>
      <c r="O28" s="1" t="n"/>
    </row>
    <row r="29" ht="18" customHeight="1">
      <c r="A29" s="1" t="n"/>
      <c r="B29" s="39" t="n"/>
      <c r="C29" s="39" t="n"/>
      <c r="D29" s="39" t="n"/>
      <c r="E29" s="39" t="n"/>
      <c r="F29" s="39" t="n"/>
      <c r="G29" s="39" t="n"/>
      <c r="H29" s="40" t="n"/>
      <c r="I29" s="39" t="n"/>
      <c r="J29" s="39" t="n"/>
      <c r="K29" s="1" t="n"/>
      <c r="L29" s="1" t="n"/>
      <c r="M29" s="1" t="n"/>
      <c r="N29" s="1" t="n"/>
      <c r="O29" s="1" t="n"/>
    </row>
    <row r="30" ht="18" customHeight="1">
      <c r="A30" s="1" t="n"/>
      <c r="B30" s="33" t="n"/>
      <c r="C30" s="33" t="n"/>
      <c r="D30" s="33" t="n"/>
      <c r="E30" s="33" t="n"/>
      <c r="F30" s="33" t="n"/>
      <c r="G30" s="33" t="n"/>
      <c r="H30" s="42" t="n"/>
      <c r="I30" s="33" t="n"/>
      <c r="J30" s="33" t="n"/>
      <c r="K30" s="1" t="n"/>
      <c r="L30" s="1" t="n"/>
      <c r="M30" s="1" t="n"/>
      <c r="N30" s="1" t="n"/>
      <c r="O30" s="1" t="n"/>
    </row>
    <row r="31" ht="18" customHeight="1">
      <c r="A31" s="1" t="n"/>
      <c r="B31" s="39" t="n"/>
      <c r="C31" s="39" t="n"/>
      <c r="D31" s="39" t="n"/>
      <c r="E31" s="39" t="n"/>
      <c r="F31" s="39" t="n"/>
      <c r="G31" s="39" t="n"/>
      <c r="H31" s="40" t="n"/>
      <c r="I31" s="39" t="n"/>
      <c r="J31" s="39" t="n"/>
      <c r="K31" s="1" t="n"/>
      <c r="L31" s="1" t="n"/>
      <c r="M31" s="1" t="n"/>
      <c r="N31" s="1" t="n"/>
      <c r="O31" s="1" t="n"/>
    </row>
    <row r="32" ht="18" customHeight="1">
      <c r="A32" s="1" t="n"/>
      <c r="B32" s="33" t="n"/>
      <c r="C32" s="33" t="n"/>
      <c r="D32" s="33" t="n"/>
      <c r="E32" s="33" t="n"/>
      <c r="F32" s="33" t="n"/>
      <c r="G32" s="33" t="n"/>
      <c r="H32" s="42" t="n"/>
      <c r="I32" s="33" t="n"/>
      <c r="J32" s="33" t="n"/>
      <c r="K32" s="1" t="n"/>
      <c r="L32" s="1" t="n"/>
      <c r="M32" s="1" t="n"/>
      <c r="N32" s="1" t="n"/>
      <c r="O32" s="1" t="n"/>
    </row>
    <row r="33" ht="18" customHeight="1">
      <c r="A33" s="1" t="n"/>
      <c r="B33" s="39" t="n"/>
      <c r="C33" s="39" t="n"/>
      <c r="D33" s="39" t="n"/>
      <c r="E33" s="39" t="n"/>
      <c r="F33" s="39" t="n"/>
      <c r="G33" s="39" t="n"/>
      <c r="H33" s="40" t="n"/>
      <c r="I33" s="39" t="n"/>
      <c r="J33" s="39" t="n"/>
      <c r="K33" s="1" t="n"/>
      <c r="L33" s="1" t="n"/>
      <c r="M33" s="1" t="n"/>
      <c r="N33" s="1" t="n"/>
      <c r="O33" s="1" t="n"/>
    </row>
    <row r="34" ht="18" customHeight="1">
      <c r="A34" s="1" t="n"/>
      <c r="B34" s="33" t="n"/>
      <c r="C34" s="33" t="n"/>
      <c r="D34" s="33" t="n"/>
      <c r="E34" s="33" t="n"/>
      <c r="F34" s="33" t="n"/>
      <c r="G34" s="33" t="n"/>
      <c r="H34" s="42" t="n"/>
      <c r="I34" s="33" t="n"/>
      <c r="J34" s="33" t="n"/>
      <c r="K34" s="1" t="n"/>
      <c r="L34" s="1" t="n"/>
      <c r="M34" s="1" t="n"/>
      <c r="N34" s="1" t="n"/>
      <c r="O34" s="1" t="n"/>
    </row>
    <row r="35" ht="18" customHeight="1">
      <c r="A35" s="1" t="n"/>
      <c r="B35" s="39" t="n"/>
      <c r="C35" s="39" t="n"/>
      <c r="D35" s="39" t="n"/>
      <c r="E35" s="39" t="n"/>
      <c r="F35" s="39" t="n"/>
      <c r="G35" s="39" t="n"/>
      <c r="H35" s="40" t="n"/>
      <c r="I35" s="39" t="n"/>
      <c r="J35" s="39" t="n"/>
      <c r="K35" s="1" t="n"/>
      <c r="L35" s="1" t="n"/>
      <c r="M35" s="1" t="n"/>
      <c r="N35" s="1" t="n"/>
      <c r="O35" s="1" t="n"/>
    </row>
    <row r="36" ht="18" customHeight="1">
      <c r="A36" s="1" t="n"/>
      <c r="B36" s="33" t="n"/>
      <c r="C36" s="33" t="n"/>
      <c r="D36" s="33" t="n"/>
      <c r="E36" s="33" t="n"/>
      <c r="F36" s="33" t="n"/>
      <c r="G36" s="33" t="n"/>
      <c r="H36" s="42" t="n"/>
      <c r="I36" s="33" t="n"/>
      <c r="J36" s="33" t="n"/>
      <c r="K36" s="1" t="n"/>
      <c r="L36" s="1" t="n"/>
      <c r="M36" s="1" t="n"/>
      <c r="N36" s="1" t="n"/>
      <c r="O36" s="1" t="n"/>
    </row>
    <row r="37" ht="18" customHeight="1">
      <c r="A37" s="1" t="n"/>
      <c r="B37" s="39" t="n"/>
      <c r="C37" s="39" t="n"/>
      <c r="D37" s="39" t="n"/>
      <c r="E37" s="39" t="n"/>
      <c r="F37" s="39" t="n"/>
      <c r="G37" s="39" t="n"/>
      <c r="H37" s="40" t="n"/>
      <c r="I37" s="39" t="n"/>
      <c r="J37" s="39" t="n"/>
      <c r="K37" s="1" t="n"/>
      <c r="L37" s="1" t="n"/>
      <c r="M37" s="1" t="n"/>
      <c r="N37" s="1" t="n"/>
      <c r="O37" s="1" t="n"/>
    </row>
    <row r="38" ht="18" customHeight="1">
      <c r="A38" s="1" t="n"/>
      <c r="B38" s="33" t="n"/>
      <c r="C38" s="33" t="n"/>
      <c r="D38" s="33" t="n"/>
      <c r="E38" s="33" t="n"/>
      <c r="F38" s="33" t="n"/>
      <c r="G38" s="33" t="n"/>
      <c r="H38" s="42" t="n"/>
      <c r="I38" s="33" t="n"/>
      <c r="J38" s="33" t="n"/>
      <c r="K38" s="1" t="n"/>
      <c r="L38" s="1" t="n"/>
      <c r="M38" s="1" t="n"/>
      <c r="N38" s="1" t="n"/>
      <c r="O38" s="1" t="n"/>
    </row>
    <row r="39" ht="18" customHeight="1">
      <c r="A39" s="1" t="n"/>
      <c r="B39" s="39" t="n"/>
      <c r="C39" s="39" t="n"/>
      <c r="D39" s="39" t="n"/>
      <c r="E39" s="39" t="n"/>
      <c r="F39" s="39" t="n"/>
      <c r="G39" s="39" t="n"/>
      <c r="H39" s="40" t="n"/>
      <c r="I39" s="39" t="n"/>
      <c r="J39" s="39" t="n"/>
      <c r="K39" s="1" t="n"/>
      <c r="L39" s="1" t="n"/>
      <c r="M39" s="1" t="n"/>
      <c r="N39" s="1" t="n"/>
      <c r="O39" s="1" t="n"/>
    </row>
    <row r="40" ht="18" customHeight="1">
      <c r="A40" s="1" t="n"/>
      <c r="B40" s="33" t="n"/>
      <c r="C40" s="33" t="n"/>
      <c r="D40" s="33" t="n"/>
      <c r="E40" s="33" t="n"/>
      <c r="F40" s="33" t="n"/>
      <c r="G40" s="33" t="n"/>
      <c r="H40" s="42" t="n"/>
      <c r="I40" s="33" t="n"/>
      <c r="J40" s="33" t="n"/>
      <c r="K40" s="1" t="n"/>
      <c r="L40" s="1" t="n"/>
      <c r="M40" s="1" t="n"/>
      <c r="N40" s="1" t="n"/>
      <c r="O40" s="1" t="n"/>
    </row>
    <row r="41" ht="18" customHeight="1">
      <c r="A41" s="1" t="n"/>
      <c r="B41" s="39" t="n"/>
      <c r="C41" s="39" t="n"/>
      <c r="D41" s="39" t="n"/>
      <c r="E41" s="39" t="n"/>
      <c r="F41" s="39" t="n"/>
      <c r="G41" s="39" t="n"/>
      <c r="H41" s="40" t="n"/>
      <c r="I41" s="39" t="n"/>
      <c r="J41" s="39" t="n"/>
      <c r="K41" s="1" t="n"/>
      <c r="L41" s="1" t="n"/>
      <c r="M41" s="1" t="n"/>
      <c r="N41" s="1" t="n"/>
      <c r="O41" s="1" t="n"/>
    </row>
    <row r="42" ht="18" customHeight="1">
      <c r="A42" s="1" t="n"/>
      <c r="B42" s="33" t="n"/>
      <c r="C42" s="33" t="n"/>
      <c r="D42" s="33" t="n"/>
      <c r="E42" s="33" t="n"/>
      <c r="F42" s="33" t="n"/>
      <c r="G42" s="33" t="n"/>
      <c r="H42" s="42" t="n"/>
      <c r="I42" s="33" t="n"/>
      <c r="J42" s="33" t="n"/>
      <c r="K42" s="1" t="n"/>
      <c r="L42" s="1" t="n"/>
      <c r="M42" s="1" t="n"/>
      <c r="N42" s="1" t="n"/>
      <c r="O42" s="1" t="n"/>
    </row>
    <row r="43" ht="18" customHeight="1">
      <c r="A43" s="1" t="n"/>
      <c r="B43" s="39" t="n"/>
      <c r="C43" s="39" t="n"/>
      <c r="D43" s="39" t="n"/>
      <c r="E43" s="39" t="n"/>
      <c r="F43" s="39" t="n"/>
      <c r="G43" s="39" t="n"/>
      <c r="H43" s="40" t="n"/>
      <c r="I43" s="39" t="n"/>
      <c r="J43" s="39" t="n"/>
      <c r="K43" s="1" t="n"/>
      <c r="L43" s="1" t="n"/>
      <c r="M43" s="1" t="n"/>
      <c r="N43" s="1" t="n"/>
      <c r="O43" s="1" t="n"/>
    </row>
    <row r="44" ht="18" customHeight="1">
      <c r="A44" s="1" t="n"/>
      <c r="B44" s="33" t="n"/>
      <c r="C44" s="33" t="n"/>
      <c r="D44" s="33" t="n"/>
      <c r="E44" s="33" t="n"/>
      <c r="F44" s="33" t="n"/>
      <c r="G44" s="33" t="n"/>
      <c r="H44" s="42" t="n"/>
      <c r="I44" s="33" t="n"/>
      <c r="J44" s="33" t="n"/>
      <c r="K44" s="1" t="n"/>
      <c r="L44" s="1" t="n"/>
      <c r="M44" s="1" t="n"/>
      <c r="N44" s="1" t="n"/>
      <c r="O44" s="1" t="n"/>
    </row>
    <row r="45" ht="18" customHeight="1">
      <c r="A45" s="1" t="n"/>
      <c r="B45" s="39" t="n"/>
      <c r="C45" s="39" t="n"/>
      <c r="D45" s="39" t="n"/>
      <c r="E45" s="39" t="n"/>
      <c r="F45" s="39" t="n"/>
      <c r="G45" s="39" t="n"/>
      <c r="H45" s="40" t="n"/>
      <c r="I45" s="39" t="n"/>
      <c r="J45" s="39" t="n"/>
      <c r="K45" s="1" t="n"/>
      <c r="L45" s="1" t="n"/>
      <c r="M45" s="1" t="n"/>
      <c r="N45" s="1" t="n"/>
      <c r="O45" s="1" t="n"/>
    </row>
    <row r="46" ht="18" customHeight="1">
      <c r="A46" s="1" t="n"/>
      <c r="B46" s="33" t="n"/>
      <c r="C46" s="33" t="n"/>
      <c r="D46" s="33" t="n"/>
      <c r="E46" s="33" t="n"/>
      <c r="F46" s="33" t="n"/>
      <c r="G46" s="33" t="n"/>
      <c r="H46" s="42" t="n"/>
      <c r="I46" s="33" t="n"/>
      <c r="J46" s="33" t="n"/>
      <c r="K46" s="1" t="n"/>
      <c r="L46" s="1" t="n"/>
      <c r="M46" s="1" t="n"/>
      <c r="N46" s="1" t="n"/>
      <c r="O46" s="1" t="n"/>
    </row>
    <row r="47" ht="18" customHeight="1">
      <c r="A47" s="1" t="n"/>
      <c r="B47" s="39" t="n"/>
      <c r="C47" s="39" t="n"/>
      <c r="D47" s="39" t="n"/>
      <c r="E47" s="39" t="n"/>
      <c r="F47" s="39" t="n"/>
      <c r="G47" s="39" t="n"/>
      <c r="H47" s="40" t="n"/>
      <c r="I47" s="39" t="n"/>
      <c r="J47" s="39" t="n"/>
      <c r="K47" s="1" t="n"/>
      <c r="L47" s="1" t="n"/>
      <c r="M47" s="1" t="n"/>
      <c r="N47" s="1" t="n"/>
      <c r="O47" s="1" t="n"/>
    </row>
    <row r="48" ht="18" customHeight="1">
      <c r="A48" s="1" t="n"/>
      <c r="B48" s="33" t="n"/>
      <c r="C48" s="33" t="n"/>
      <c r="D48" s="33" t="n"/>
      <c r="E48" s="33" t="n"/>
      <c r="F48" s="33" t="n"/>
      <c r="G48" s="33" t="n"/>
      <c r="H48" s="42" t="n"/>
      <c r="I48" s="33" t="n"/>
      <c r="J48" s="33" t="n"/>
      <c r="K48" s="1" t="n"/>
      <c r="L48" s="1" t="n"/>
      <c r="M48" s="1" t="n"/>
      <c r="N48" s="1" t="n"/>
      <c r="O48" s="1" t="n"/>
    </row>
    <row r="49" ht="18" customHeight="1">
      <c r="A49" s="1" t="n"/>
      <c r="B49" s="39" t="n"/>
      <c r="C49" s="39" t="n"/>
      <c r="D49" s="39" t="n"/>
      <c r="E49" s="39" t="n"/>
      <c r="F49" s="39" t="n"/>
      <c r="G49" s="39" t="n"/>
      <c r="H49" s="40" t="n"/>
      <c r="I49" s="39" t="n"/>
      <c r="J49" s="39" t="n"/>
      <c r="K49" s="1" t="n"/>
      <c r="L49" s="1" t="n"/>
      <c r="M49" s="1" t="n"/>
      <c r="N49" s="1" t="n"/>
      <c r="O49" s="1" t="n"/>
    </row>
    <row r="50" ht="18" customHeight="1">
      <c r="A50" s="1" t="n"/>
      <c r="B50" s="33" t="n"/>
      <c r="C50" s="33" t="n"/>
      <c r="D50" s="33" t="n"/>
      <c r="E50" s="33" t="n"/>
      <c r="F50" s="33" t="n"/>
      <c r="G50" s="33" t="n"/>
      <c r="H50" s="42" t="n"/>
      <c r="I50" s="33" t="n"/>
      <c r="J50" s="33" t="n"/>
      <c r="K50" s="1" t="n"/>
      <c r="L50" s="1" t="n"/>
      <c r="M50" s="1" t="n"/>
      <c r="N50" s="1" t="n"/>
      <c r="O50" s="1" t="n"/>
    </row>
    <row r="51" ht="18" customHeight="1">
      <c r="A51" s="1" t="n"/>
      <c r="B51" s="39" t="n"/>
      <c r="C51" s="39" t="n"/>
      <c r="D51" s="39" t="n"/>
      <c r="E51" s="39" t="n"/>
      <c r="F51" s="39" t="n"/>
      <c r="G51" s="39" t="n"/>
      <c r="H51" s="40" t="n"/>
      <c r="I51" s="39" t="n"/>
      <c r="J51" s="39" t="n"/>
      <c r="K51" s="1" t="n"/>
      <c r="L51" s="1" t="n"/>
      <c r="M51" s="1" t="n"/>
      <c r="N51" s="1" t="n"/>
      <c r="O51" s="1" t="n"/>
    </row>
    <row r="52" ht="18" customHeight="1">
      <c r="A52" s="1" t="n"/>
      <c r="B52" s="33" t="n"/>
      <c r="C52" s="33" t="n"/>
      <c r="D52" s="33" t="n"/>
      <c r="E52" s="33" t="n"/>
      <c r="F52" s="33" t="n"/>
      <c r="G52" s="33" t="n"/>
      <c r="H52" s="42" t="n"/>
      <c r="I52" s="33" t="n"/>
      <c r="J52" s="33" t="n"/>
      <c r="K52" s="1" t="n"/>
      <c r="L52" s="1" t="n"/>
      <c r="M52" s="1" t="n"/>
      <c r="N52" s="1" t="n"/>
      <c r="O52" s="1" t="n"/>
    </row>
    <row r="53" ht="18" customHeight="1">
      <c r="A53" s="1" t="n"/>
      <c r="B53" s="39" t="n"/>
      <c r="C53" s="39" t="n"/>
      <c r="D53" s="39" t="n"/>
      <c r="E53" s="39" t="n"/>
      <c r="F53" s="39" t="n"/>
      <c r="G53" s="39" t="n"/>
      <c r="H53" s="40" t="n"/>
      <c r="I53" s="39" t="n"/>
      <c r="J53" s="39" t="n"/>
      <c r="K53" s="1" t="n"/>
      <c r="L53" s="1" t="n"/>
      <c r="M53" s="1" t="n"/>
      <c r="N53" s="1" t="n"/>
      <c r="O53" s="1" t="n"/>
    </row>
    <row r="54" ht="18" customHeight="1">
      <c r="A54" s="1" t="n"/>
      <c r="B54" s="33" t="n"/>
      <c r="C54" s="33" t="n"/>
      <c r="D54" s="33" t="n"/>
      <c r="E54" s="33" t="n"/>
      <c r="F54" s="33" t="n"/>
      <c r="G54" s="33" t="n"/>
      <c r="H54" s="42" t="n"/>
      <c r="I54" s="33" t="n"/>
      <c r="J54" s="33" t="n"/>
      <c r="K54" s="1" t="n"/>
      <c r="L54" s="1" t="n"/>
      <c r="M54" s="1" t="n"/>
      <c r="N54" s="1" t="n"/>
      <c r="O54" s="1" t="n"/>
    </row>
    <row r="55" ht="18" customHeight="1">
      <c r="A55" s="1" t="n"/>
      <c r="B55" s="39" t="n"/>
      <c r="C55" s="39" t="n"/>
      <c r="D55" s="39" t="n"/>
      <c r="E55" s="39" t="n"/>
      <c r="F55" s="39" t="n"/>
      <c r="G55" s="39" t="n"/>
      <c r="H55" s="40" t="n"/>
      <c r="I55" s="39" t="n"/>
      <c r="J55" s="39" t="n"/>
      <c r="K55" s="1" t="n"/>
      <c r="L55" s="1" t="n"/>
      <c r="M55" s="1" t="n"/>
      <c r="N55" s="1" t="n"/>
      <c r="O55" s="1" t="n"/>
    </row>
    <row r="56" ht="18" customHeight="1">
      <c r="A56" s="1" t="n"/>
      <c r="B56" s="33" t="n"/>
      <c r="C56" s="33" t="n"/>
      <c r="D56" s="33" t="n"/>
      <c r="E56" s="33" t="n"/>
      <c r="F56" s="33" t="n"/>
      <c r="G56" s="33" t="n"/>
      <c r="H56" s="42" t="n"/>
      <c r="I56" s="33" t="n"/>
      <c r="J56" s="33" t="n"/>
      <c r="K56" s="1" t="n"/>
      <c r="L56" s="1" t="n"/>
      <c r="M56" s="1" t="n"/>
      <c r="N56" s="1" t="n"/>
      <c r="O56" s="1" t="n"/>
    </row>
    <row r="57" ht="18" customHeight="1">
      <c r="A57" s="1" t="n"/>
      <c r="B57" s="39" t="n"/>
      <c r="C57" s="39" t="n"/>
      <c r="D57" s="39" t="n"/>
      <c r="E57" s="39" t="n"/>
      <c r="F57" s="39" t="n"/>
      <c r="G57" s="39" t="n"/>
      <c r="H57" s="40" t="n"/>
      <c r="I57" s="39" t="n"/>
      <c r="J57" s="39" t="n"/>
      <c r="K57" s="1" t="n"/>
      <c r="L57" s="1" t="n"/>
      <c r="M57" s="1" t="n"/>
      <c r="N57" s="1" t="n"/>
      <c r="O57" s="1" t="n"/>
    </row>
    <row r="58" ht="18" customHeight="1">
      <c r="A58" s="1" t="n"/>
      <c r="B58" s="33" t="n"/>
      <c r="C58" s="33" t="n"/>
      <c r="D58" s="33" t="n"/>
      <c r="E58" s="33" t="n"/>
      <c r="F58" s="33" t="n"/>
      <c r="G58" s="33" t="n"/>
      <c r="H58" s="42" t="n"/>
      <c r="I58" s="33" t="n"/>
      <c r="J58" s="33" t="n"/>
      <c r="K58" s="1" t="n"/>
      <c r="L58" s="1" t="n"/>
      <c r="M58" s="1" t="n"/>
      <c r="N58" s="1" t="n"/>
      <c r="O58" s="1" t="n"/>
    </row>
    <row r="59" ht="18" customHeight="1">
      <c r="A59" s="1" t="n"/>
      <c r="B59" s="39" t="n"/>
      <c r="C59" s="39" t="n"/>
      <c r="D59" s="39" t="n"/>
      <c r="E59" s="39" t="n"/>
      <c r="F59" s="39" t="n"/>
      <c r="G59" s="39" t="n"/>
      <c r="H59" s="40" t="n"/>
      <c r="I59" s="39" t="n"/>
      <c r="J59" s="39" t="n"/>
      <c r="K59" s="1" t="n"/>
      <c r="L59" s="1" t="n"/>
      <c r="M59" s="1" t="n"/>
      <c r="N59" s="1" t="n"/>
      <c r="O59" s="1" t="n"/>
    </row>
    <row r="60" ht="18" customHeight="1">
      <c r="A60" s="1" t="n"/>
      <c r="B60" s="33" t="n"/>
      <c r="C60" s="33" t="n"/>
      <c r="D60" s="33" t="n"/>
      <c r="E60" s="33" t="n"/>
      <c r="F60" s="33" t="n"/>
      <c r="G60" s="33" t="n"/>
      <c r="H60" s="42" t="n"/>
      <c r="I60" s="33" t="n"/>
      <c r="J60" s="33" t="n"/>
      <c r="K60" s="1" t="n"/>
      <c r="L60" s="1" t="n"/>
      <c r="M60" s="1" t="n"/>
      <c r="N60" s="1" t="n"/>
      <c r="O60" s="1" t="n"/>
    </row>
    <row r="61" ht="18" customHeight="1">
      <c r="A61" s="1" t="n"/>
      <c r="B61" s="39" t="n"/>
      <c r="C61" s="39" t="n"/>
      <c r="D61" s="39" t="n"/>
      <c r="E61" s="39" t="n"/>
      <c r="F61" s="39" t="n"/>
      <c r="G61" s="39" t="n"/>
      <c r="H61" s="40" t="n"/>
      <c r="I61" s="39" t="n"/>
      <c r="J61" s="39" t="n"/>
      <c r="K61" s="1" t="n"/>
      <c r="L61" s="1" t="n"/>
      <c r="M61" s="1" t="n"/>
      <c r="N61" s="1" t="n"/>
      <c r="O61" s="1" t="n"/>
    </row>
    <row r="62" ht="18" customHeight="1">
      <c r="A62" s="1" t="n"/>
      <c r="B62" s="33" t="n"/>
      <c r="C62" s="33" t="n"/>
      <c r="D62" s="33" t="n"/>
      <c r="E62" s="33" t="n"/>
      <c r="F62" s="33" t="n"/>
      <c r="G62" s="33" t="n"/>
      <c r="H62" s="42" t="n"/>
      <c r="I62" s="33" t="n"/>
      <c r="J62" s="33" t="n"/>
      <c r="K62" s="1" t="n"/>
      <c r="L62" s="1" t="n"/>
      <c r="M62" s="1" t="n"/>
      <c r="N62" s="1" t="n"/>
      <c r="O62" s="1" t="n"/>
    </row>
    <row r="63" ht="18" customHeight="1">
      <c r="A63" s="1" t="n"/>
      <c r="B63" s="39" t="n"/>
      <c r="C63" s="39" t="n"/>
      <c r="D63" s="39" t="n"/>
      <c r="E63" s="39" t="n"/>
      <c r="F63" s="39" t="n"/>
      <c r="G63" s="39" t="n"/>
      <c r="H63" s="40" t="n"/>
      <c r="I63" s="39" t="n"/>
      <c r="J63" s="39" t="n"/>
      <c r="K63" s="1" t="n"/>
      <c r="L63" s="1" t="n"/>
      <c r="M63" s="1" t="n"/>
      <c r="N63" s="1" t="n"/>
      <c r="O63" s="1" t="n"/>
    </row>
    <row r="64" ht="18" customHeight="1">
      <c r="A64" s="1" t="n"/>
      <c r="B64" s="33" t="n"/>
      <c r="C64" s="33" t="n"/>
      <c r="D64" s="33" t="n"/>
      <c r="E64" s="33" t="n"/>
      <c r="F64" s="33" t="n"/>
      <c r="G64" s="33" t="n"/>
      <c r="H64" s="42" t="n"/>
      <c r="I64" s="33" t="n"/>
      <c r="J64" s="33" t="n"/>
      <c r="K64" s="1" t="n"/>
      <c r="L64" s="1" t="n"/>
      <c r="M64" s="1" t="n"/>
      <c r="N64" s="1" t="n"/>
      <c r="O64" s="1" t="n"/>
    </row>
    <row r="65" ht="18" customHeight="1">
      <c r="A65" s="1" t="n"/>
      <c r="B65" s="39" t="n"/>
      <c r="C65" s="39" t="n"/>
      <c r="D65" s="39" t="n"/>
      <c r="E65" s="39" t="n"/>
      <c r="F65" s="39" t="n"/>
      <c r="G65" s="39" t="n"/>
      <c r="H65" s="40" t="n"/>
      <c r="I65" s="39" t="n"/>
      <c r="J65" s="39" t="n"/>
      <c r="K65" s="1" t="n"/>
      <c r="L65" s="1" t="n"/>
      <c r="M65" s="1" t="n"/>
      <c r="N65" s="1" t="n"/>
      <c r="O65" s="1" t="n"/>
    </row>
    <row r="66" ht="18" customHeight="1">
      <c r="A66" s="1" t="n"/>
      <c r="B66" s="33" t="n"/>
      <c r="C66" s="33" t="n"/>
      <c r="D66" s="33" t="n"/>
      <c r="E66" s="33" t="n"/>
      <c r="F66" s="33" t="n"/>
      <c r="G66" s="33" t="n"/>
      <c r="H66" s="42" t="n"/>
      <c r="I66" s="33" t="n"/>
      <c r="J66" s="33" t="n"/>
      <c r="K66" s="1" t="n"/>
      <c r="L66" s="1" t="n"/>
      <c r="M66" s="1" t="n"/>
      <c r="N66" s="1" t="n"/>
      <c r="O66" s="1" t="n"/>
    </row>
    <row r="67" ht="18" customHeight="1">
      <c r="A67" s="1" t="n"/>
      <c r="B67" s="39" t="n"/>
      <c r="C67" s="39" t="n"/>
      <c r="D67" s="39" t="n"/>
      <c r="E67" s="39" t="n"/>
      <c r="F67" s="39" t="n"/>
      <c r="G67" s="39" t="n"/>
      <c r="H67" s="40" t="n"/>
      <c r="I67" s="39" t="n"/>
      <c r="J67" s="39" t="n"/>
      <c r="K67" s="1" t="n"/>
      <c r="L67" s="1" t="n"/>
      <c r="M67" s="1" t="n"/>
      <c r="N67" s="1" t="n"/>
      <c r="O67" s="1" t="n"/>
    </row>
    <row r="68" ht="18" customHeight="1">
      <c r="A68" s="1" t="n"/>
      <c r="B68" s="33" t="n"/>
      <c r="C68" s="33" t="n"/>
      <c r="D68" s="33" t="n"/>
      <c r="E68" s="33" t="n"/>
      <c r="F68" s="33" t="n"/>
      <c r="G68" s="33" t="n"/>
      <c r="H68" s="42" t="n"/>
      <c r="I68" s="33" t="n"/>
      <c r="J68" s="33" t="n"/>
      <c r="K68" s="1" t="n"/>
      <c r="L68" s="1" t="n"/>
      <c r="M68" s="1" t="n"/>
      <c r="N68" s="1" t="n"/>
      <c r="O68" s="1" t="n"/>
    </row>
    <row r="69" ht="18" customHeight="1">
      <c r="A69" s="1" t="n"/>
      <c r="B69" s="39" t="n"/>
      <c r="C69" s="39" t="n"/>
      <c r="D69" s="39" t="n"/>
      <c r="E69" s="39" t="n"/>
      <c r="F69" s="39" t="n"/>
      <c r="G69" s="39" t="n"/>
      <c r="H69" s="40" t="n"/>
      <c r="I69" s="39" t="n"/>
      <c r="J69" s="39" t="n"/>
      <c r="K69" s="1" t="n"/>
      <c r="L69" s="1" t="n"/>
      <c r="M69" s="1" t="n"/>
      <c r="N69" s="1" t="n"/>
      <c r="O69" s="1" t="n"/>
    </row>
    <row r="70" ht="18" customHeight="1">
      <c r="A70" s="1" t="n"/>
      <c r="B70" s="33" t="n"/>
      <c r="C70" s="33" t="n"/>
      <c r="D70" s="33" t="n"/>
      <c r="E70" s="33" t="n"/>
      <c r="F70" s="33" t="n"/>
      <c r="G70" s="33" t="n"/>
      <c r="H70" s="42" t="n"/>
      <c r="I70" s="33" t="n"/>
      <c r="J70" s="33" t="n"/>
      <c r="K70" s="1" t="n"/>
      <c r="L70" s="1" t="n"/>
      <c r="M70" s="1" t="n"/>
      <c r="N70" s="1" t="n"/>
      <c r="O70" s="1" t="n"/>
    </row>
    <row r="71" ht="18" customHeight="1">
      <c r="A71" s="1" t="n"/>
      <c r="B71" s="39" t="n"/>
      <c r="C71" s="39" t="n"/>
      <c r="D71" s="39" t="n"/>
      <c r="E71" s="39" t="n"/>
      <c r="F71" s="39" t="n"/>
      <c r="G71" s="39" t="n"/>
      <c r="H71" s="40" t="n"/>
      <c r="I71" s="39" t="n"/>
      <c r="J71" s="39" t="n"/>
      <c r="K71" s="1" t="n"/>
      <c r="L71" s="1" t="n"/>
      <c r="M71" s="1" t="n"/>
      <c r="N71" s="1" t="n"/>
      <c r="O71" s="1" t="n"/>
    </row>
    <row r="72" ht="18" customHeight="1">
      <c r="A72" s="1" t="n"/>
      <c r="B72" s="33" t="n"/>
      <c r="C72" s="33" t="n"/>
      <c r="D72" s="33" t="n"/>
      <c r="E72" s="33" t="n"/>
      <c r="F72" s="33" t="n"/>
      <c r="G72" s="33" t="n"/>
      <c r="H72" s="42" t="n"/>
      <c r="I72" s="33" t="n"/>
      <c r="J72" s="33" t="n"/>
      <c r="K72" s="1" t="n"/>
      <c r="L72" s="1" t="n"/>
      <c r="M72" s="1" t="n"/>
      <c r="N72" s="1" t="n"/>
      <c r="O72" s="1" t="n"/>
    </row>
    <row r="73" ht="18" customHeight="1">
      <c r="A73" s="1" t="n"/>
      <c r="B73" s="39" t="n"/>
      <c r="C73" s="39" t="n"/>
      <c r="D73" s="39" t="n"/>
      <c r="E73" s="39" t="n"/>
      <c r="F73" s="39" t="n"/>
      <c r="G73" s="39" t="n"/>
      <c r="H73" s="40" t="n"/>
      <c r="I73" s="39" t="n"/>
      <c r="J73" s="39" t="n"/>
      <c r="K73" s="1" t="n"/>
      <c r="L73" s="1" t="n"/>
      <c r="M73" s="1" t="n"/>
      <c r="N73" s="1" t="n"/>
      <c r="O73" s="1" t="n"/>
    </row>
    <row r="74" ht="18" customHeight="1">
      <c r="A74" s="1" t="n"/>
      <c r="B74" s="33" t="n"/>
      <c r="C74" s="33" t="n"/>
      <c r="D74" s="33" t="n"/>
      <c r="E74" s="33" t="n"/>
      <c r="F74" s="33" t="n"/>
      <c r="G74" s="33" t="n"/>
      <c r="H74" s="42" t="n"/>
      <c r="I74" s="33" t="n"/>
      <c r="J74" s="33" t="n"/>
      <c r="K74" s="1" t="n"/>
      <c r="L74" s="1" t="n"/>
      <c r="M74" s="1" t="n"/>
      <c r="N74" s="1" t="n"/>
      <c r="O74" s="1" t="n"/>
    </row>
    <row r="75" ht="18" customHeight="1">
      <c r="A75" s="1" t="n"/>
      <c r="B75" s="39" t="n"/>
      <c r="C75" s="39" t="n"/>
      <c r="D75" s="39" t="n"/>
      <c r="E75" s="39" t="n"/>
      <c r="F75" s="39" t="n"/>
      <c r="G75" s="39" t="n"/>
      <c r="H75" s="40" t="n"/>
      <c r="I75" s="39" t="n"/>
      <c r="J75" s="39" t="n"/>
      <c r="K75" s="1" t="n"/>
      <c r="L75" s="1" t="n"/>
      <c r="M75" s="1" t="n"/>
      <c r="N75" s="1" t="n"/>
      <c r="O75" s="1" t="n"/>
    </row>
    <row r="76" ht="18" customHeight="1">
      <c r="A76" s="1" t="n"/>
      <c r="B76" s="33" t="n"/>
      <c r="C76" s="33" t="n"/>
      <c r="D76" s="33" t="n"/>
      <c r="E76" s="33" t="n"/>
      <c r="F76" s="33" t="n"/>
      <c r="G76" s="33" t="n"/>
      <c r="H76" s="42" t="n"/>
      <c r="I76" s="33" t="n"/>
      <c r="J76" s="33" t="n"/>
      <c r="K76" s="1" t="n"/>
      <c r="L76" s="1" t="n"/>
      <c r="M76" s="1" t="n"/>
      <c r="N76" s="1" t="n"/>
      <c r="O76" s="1" t="n"/>
    </row>
    <row r="77" ht="18" customHeight="1">
      <c r="A77" s="1" t="n"/>
      <c r="B77" s="39" t="n"/>
      <c r="C77" s="39" t="n"/>
      <c r="D77" s="39" t="n"/>
      <c r="E77" s="39" t="n"/>
      <c r="F77" s="39" t="n"/>
      <c r="G77" s="39" t="n"/>
      <c r="H77" s="40" t="n"/>
      <c r="I77" s="39" t="n"/>
      <c r="J77" s="39" t="n"/>
      <c r="K77" s="1" t="n"/>
      <c r="L77" s="1" t="n"/>
      <c r="M77" s="1" t="n"/>
      <c r="N77" s="1" t="n"/>
      <c r="O77" s="1" t="n"/>
    </row>
    <row r="78" ht="18" customHeight="1">
      <c r="A78" s="1" t="n"/>
      <c r="B78" s="33" t="n"/>
      <c r="C78" s="33" t="n"/>
      <c r="D78" s="33" t="n"/>
      <c r="E78" s="33" t="n"/>
      <c r="F78" s="33" t="n"/>
      <c r="G78" s="33" t="n"/>
      <c r="H78" s="42" t="n"/>
      <c r="I78" s="33" t="n"/>
      <c r="J78" s="33" t="n"/>
      <c r="K78" s="1" t="n"/>
      <c r="L78" s="1" t="n"/>
      <c r="M78" s="1" t="n"/>
      <c r="N78" s="1" t="n"/>
      <c r="O78" s="1" t="n"/>
    </row>
    <row r="79" ht="18" customHeight="1">
      <c r="A79" s="1" t="n"/>
      <c r="B79" s="39" t="n"/>
      <c r="C79" s="39" t="n"/>
      <c r="D79" s="39" t="n"/>
      <c r="E79" s="39" t="n"/>
      <c r="F79" s="39" t="n"/>
      <c r="G79" s="39" t="n"/>
      <c r="H79" s="40" t="n"/>
      <c r="I79" s="39" t="n"/>
      <c r="J79" s="39" t="n"/>
      <c r="K79" s="1" t="n"/>
      <c r="L79" s="1" t="n"/>
      <c r="M79" s="1" t="n"/>
      <c r="N79" s="1" t="n"/>
      <c r="O79" s="1" t="n"/>
    </row>
    <row r="80" ht="18" customHeight="1">
      <c r="A80" s="1" t="n"/>
      <c r="B80" s="33" t="n"/>
      <c r="C80" s="33" t="n"/>
      <c r="D80" s="33" t="n"/>
      <c r="E80" s="33" t="n"/>
      <c r="F80" s="33" t="n"/>
      <c r="G80" s="33" t="n"/>
      <c r="H80" s="42" t="n"/>
      <c r="I80" s="33" t="n"/>
      <c r="J80" s="33" t="n"/>
      <c r="K80" s="1" t="n"/>
      <c r="L80" s="1" t="n"/>
      <c r="M80" s="1" t="n"/>
      <c r="N80" s="1" t="n"/>
      <c r="O80" s="1" t="n"/>
    </row>
    <row r="81" ht="18" customHeight="1">
      <c r="A81" s="1" t="n"/>
      <c r="B81" s="39" t="n"/>
      <c r="C81" s="39" t="n"/>
      <c r="D81" s="39" t="n"/>
      <c r="E81" s="39" t="n"/>
      <c r="F81" s="39" t="n"/>
      <c r="G81" s="39" t="n"/>
      <c r="H81" s="40" t="n"/>
      <c r="I81" s="39" t="n"/>
      <c r="J81" s="39" t="n"/>
      <c r="K81" s="1" t="n"/>
      <c r="L81" s="1" t="n"/>
      <c r="M81" s="1" t="n"/>
      <c r="N81" s="1" t="n"/>
      <c r="O81" s="1" t="n"/>
    </row>
    <row r="82" ht="18" customHeight="1">
      <c r="A82" s="1" t="n"/>
      <c r="B82" s="33" t="n"/>
      <c r="C82" s="33" t="n"/>
      <c r="D82" s="33" t="n"/>
      <c r="E82" s="33" t="n"/>
      <c r="F82" s="33" t="n"/>
      <c r="G82" s="33" t="n"/>
      <c r="H82" s="42" t="n"/>
      <c r="I82" s="33" t="n"/>
      <c r="J82" s="33" t="n"/>
      <c r="K82" s="1" t="n"/>
      <c r="L82" s="1" t="n"/>
      <c r="M82" s="1" t="n"/>
      <c r="N82" s="1" t="n"/>
      <c r="O82" s="1" t="n"/>
    </row>
    <row r="83" ht="18" customHeight="1">
      <c r="A83" s="1" t="n"/>
      <c r="B83" s="39" t="n"/>
      <c r="C83" s="39" t="n"/>
      <c r="D83" s="39" t="n"/>
      <c r="E83" s="39" t="n"/>
      <c r="F83" s="39" t="n"/>
      <c r="G83" s="39" t="n"/>
      <c r="H83" s="40" t="n"/>
      <c r="I83" s="39" t="n"/>
      <c r="J83" s="39" t="n"/>
      <c r="K83" s="1" t="n"/>
      <c r="L83" s="1" t="n"/>
      <c r="M83" s="1" t="n"/>
      <c r="N83" s="1" t="n"/>
      <c r="O83" s="1" t="n"/>
    </row>
    <row r="84" ht="18" customHeight="1">
      <c r="A84" s="1" t="n"/>
      <c r="B84" s="33" t="n"/>
      <c r="C84" s="33" t="n"/>
      <c r="D84" s="33" t="n"/>
      <c r="E84" s="33" t="n"/>
      <c r="F84" s="33" t="n"/>
      <c r="G84" s="33" t="n"/>
      <c r="H84" s="42" t="n"/>
      <c r="I84" s="33" t="n"/>
      <c r="J84" s="33" t="n"/>
      <c r="K84" s="1" t="n"/>
      <c r="L84" s="1" t="n"/>
      <c r="M84" s="1" t="n"/>
      <c r="N84" s="1" t="n"/>
      <c r="O84" s="1" t="n"/>
    </row>
    <row r="85" ht="18" customHeight="1">
      <c r="A85" s="1" t="n"/>
      <c r="B85" s="39" t="n"/>
      <c r="C85" s="39" t="n"/>
      <c r="D85" s="39" t="n"/>
      <c r="E85" s="39" t="n"/>
      <c r="F85" s="39" t="n"/>
      <c r="G85" s="39" t="n"/>
      <c r="H85" s="40" t="n"/>
      <c r="I85" s="39" t="n"/>
      <c r="J85" s="39" t="n"/>
      <c r="K85" s="1" t="n"/>
      <c r="L85" s="1" t="n"/>
      <c r="M85" s="1" t="n"/>
      <c r="N85" s="1" t="n"/>
      <c r="O85" s="1" t="n"/>
    </row>
    <row r="86" ht="18" customHeight="1">
      <c r="A86" s="1" t="n"/>
      <c r="B86" s="33" t="n"/>
      <c r="C86" s="33" t="n"/>
      <c r="D86" s="33" t="n"/>
      <c r="E86" s="33" t="n"/>
      <c r="F86" s="33" t="n"/>
      <c r="G86" s="33" t="n"/>
      <c r="H86" s="42" t="n"/>
      <c r="I86" s="33" t="n"/>
      <c r="J86" s="33" t="n"/>
      <c r="K86" s="1" t="n"/>
      <c r="L86" s="1" t="n"/>
      <c r="M86" s="1" t="n"/>
      <c r="N86" s="1" t="n"/>
      <c r="O86" s="1" t="n"/>
    </row>
    <row r="87" ht="18" customHeight="1">
      <c r="A87" s="1" t="n"/>
      <c r="B87" s="39" t="n"/>
      <c r="C87" s="39" t="n"/>
      <c r="D87" s="39" t="n"/>
      <c r="E87" s="39" t="n"/>
      <c r="F87" s="39" t="n"/>
      <c r="G87" s="39" t="n"/>
      <c r="H87" s="40" t="n"/>
      <c r="I87" s="39" t="n"/>
      <c r="J87" s="39" t="n"/>
      <c r="K87" s="1" t="n"/>
      <c r="L87" s="1" t="n"/>
      <c r="M87" s="1" t="n"/>
      <c r="N87" s="1" t="n"/>
      <c r="O87" s="1" t="n"/>
    </row>
    <row r="88" ht="18" customHeight="1">
      <c r="A88" s="1" t="n"/>
      <c r="B88" s="33" t="n"/>
      <c r="C88" s="33" t="n"/>
      <c r="D88" s="33" t="n"/>
      <c r="E88" s="33" t="n"/>
      <c r="F88" s="33" t="n"/>
      <c r="G88" s="33" t="n"/>
      <c r="H88" s="42" t="n"/>
      <c r="I88" s="33" t="n"/>
      <c r="J88" s="33" t="n"/>
      <c r="K88" s="1" t="n"/>
      <c r="L88" s="1" t="n"/>
      <c r="M88" s="1" t="n"/>
      <c r="N88" s="1" t="n"/>
      <c r="O88" s="1" t="n"/>
    </row>
    <row r="89" ht="18" customHeight="1">
      <c r="A89" s="1" t="n"/>
      <c r="B89" s="39" t="n"/>
      <c r="C89" s="39" t="n"/>
      <c r="D89" s="39" t="n"/>
      <c r="E89" s="39" t="n"/>
      <c r="F89" s="39" t="n"/>
      <c r="G89" s="39" t="n"/>
      <c r="H89" s="40" t="n"/>
      <c r="I89" s="39" t="n"/>
      <c r="J89" s="39" t="n"/>
      <c r="K89" s="1" t="n"/>
      <c r="L89" s="1" t="n"/>
      <c r="M89" s="1" t="n"/>
      <c r="N89" s="1" t="n"/>
      <c r="O89" s="1" t="n"/>
    </row>
    <row r="90" ht="18" customHeight="1">
      <c r="A90" s="1" t="n"/>
      <c r="B90" s="33" t="n"/>
      <c r="C90" s="33" t="n"/>
      <c r="D90" s="33" t="n"/>
      <c r="E90" s="33" t="n"/>
      <c r="F90" s="33" t="n"/>
      <c r="G90" s="33" t="n"/>
      <c r="H90" s="42" t="n"/>
      <c r="I90" s="33" t="n"/>
      <c r="J90" s="33" t="n"/>
      <c r="K90" s="1" t="n"/>
      <c r="L90" s="1" t="n"/>
      <c r="M90" s="1" t="n"/>
      <c r="N90" s="1" t="n"/>
      <c r="O90" s="1" t="n"/>
    </row>
    <row r="91" ht="18" customHeight="1">
      <c r="A91" s="1" t="n"/>
      <c r="B91" s="39" t="n"/>
      <c r="C91" s="39" t="n"/>
      <c r="D91" s="39" t="n"/>
      <c r="E91" s="39" t="n"/>
      <c r="F91" s="39" t="n"/>
      <c r="G91" s="39" t="n"/>
      <c r="H91" s="40" t="n"/>
      <c r="I91" s="39" t="n"/>
      <c r="J91" s="39" t="n"/>
      <c r="K91" s="1" t="n"/>
      <c r="L91" s="1" t="n"/>
      <c r="M91" s="1" t="n"/>
      <c r="N91" s="1" t="n"/>
      <c r="O91" s="1" t="n"/>
    </row>
    <row r="92" ht="18" customHeight="1">
      <c r="A92" s="1" t="n"/>
      <c r="B92" s="33" t="n"/>
      <c r="C92" s="33" t="n"/>
      <c r="D92" s="33" t="n"/>
      <c r="E92" s="33" t="n"/>
      <c r="F92" s="33" t="n"/>
      <c r="G92" s="33" t="n"/>
      <c r="H92" s="42" t="n"/>
      <c r="I92" s="33" t="n"/>
      <c r="J92" s="33" t="n"/>
      <c r="K92" s="1" t="n"/>
      <c r="L92" s="1" t="n"/>
      <c r="M92" s="1" t="n"/>
      <c r="N92" s="1" t="n"/>
      <c r="O92" s="1" t="n"/>
    </row>
    <row r="93" ht="18" customHeight="1">
      <c r="A93" s="1" t="n"/>
      <c r="B93" s="39" t="n"/>
      <c r="C93" s="39" t="n"/>
      <c r="D93" s="39" t="n"/>
      <c r="E93" s="39" t="n"/>
      <c r="F93" s="39" t="n"/>
      <c r="G93" s="39" t="n"/>
      <c r="H93" s="40" t="n"/>
      <c r="I93" s="39" t="n"/>
      <c r="J93" s="39" t="n"/>
      <c r="K93" s="1" t="n"/>
      <c r="L93" s="1" t="n"/>
      <c r="M93" s="1" t="n"/>
      <c r="N93" s="1" t="n"/>
      <c r="O93" s="1" t="n"/>
    </row>
    <row r="94" ht="18" customHeight="1">
      <c r="A94" s="1" t="n"/>
      <c r="B94" s="33" t="n"/>
      <c r="C94" s="33" t="n"/>
      <c r="D94" s="33" t="n"/>
      <c r="E94" s="33" t="n"/>
      <c r="F94" s="33" t="n"/>
      <c r="G94" s="33" t="n"/>
      <c r="H94" s="42" t="n"/>
      <c r="I94" s="33" t="n"/>
      <c r="J94" s="33" t="n"/>
      <c r="K94" s="1" t="n"/>
      <c r="L94" s="1" t="n"/>
      <c r="M94" s="1" t="n"/>
      <c r="N94" s="1" t="n"/>
      <c r="O94" s="1" t="n"/>
    </row>
    <row r="95" ht="18" customHeight="1">
      <c r="A95" s="1" t="n"/>
      <c r="B95" s="39" t="n"/>
      <c r="C95" s="39" t="n"/>
      <c r="D95" s="39" t="n"/>
      <c r="E95" s="39" t="n"/>
      <c r="F95" s="39" t="n"/>
      <c r="G95" s="39" t="n"/>
      <c r="H95" s="40" t="n"/>
      <c r="I95" s="39" t="n"/>
      <c r="J95" s="39" t="n"/>
      <c r="K95" s="1" t="n"/>
      <c r="L95" s="1" t="n"/>
      <c r="M95" s="1" t="n"/>
      <c r="N95" s="1" t="n"/>
      <c r="O95" s="1" t="n"/>
    </row>
    <row r="96" ht="18" customHeight="1">
      <c r="A96" s="1" t="n"/>
      <c r="B96" s="33" t="n"/>
      <c r="C96" s="33" t="n"/>
      <c r="D96" s="33" t="n"/>
      <c r="E96" s="33" t="n"/>
      <c r="F96" s="33" t="n"/>
      <c r="G96" s="33" t="n"/>
      <c r="H96" s="42" t="n"/>
      <c r="I96" s="33" t="n"/>
      <c r="J96" s="33" t="n"/>
      <c r="K96" s="1" t="n"/>
      <c r="L96" s="1" t="n"/>
      <c r="M96" s="1" t="n"/>
      <c r="N96" s="1" t="n"/>
      <c r="O96" s="1" t="n"/>
    </row>
    <row r="97" ht="18" customHeight="1">
      <c r="A97" s="1" t="n"/>
      <c r="B97" s="39" t="n"/>
      <c r="C97" s="39" t="n"/>
      <c r="D97" s="39" t="n"/>
      <c r="E97" s="39" t="n"/>
      <c r="F97" s="39" t="n"/>
      <c r="G97" s="39" t="n"/>
      <c r="H97" s="40" t="n"/>
      <c r="I97" s="39" t="n"/>
      <c r="J97" s="39" t="n"/>
      <c r="K97" s="1" t="n"/>
      <c r="L97" s="1" t="n"/>
      <c r="M97" s="1" t="n"/>
      <c r="N97" s="1" t="n"/>
      <c r="O97" s="1" t="n"/>
    </row>
    <row r="98" ht="18" customHeight="1">
      <c r="A98" s="1" t="n"/>
      <c r="B98" s="33" t="n"/>
      <c r="C98" s="33" t="n"/>
      <c r="D98" s="33" t="n"/>
      <c r="E98" s="33" t="n"/>
      <c r="F98" s="33" t="n"/>
      <c r="G98" s="33" t="n"/>
      <c r="H98" s="42" t="n"/>
      <c r="I98" s="33" t="n"/>
      <c r="J98" s="33" t="n"/>
      <c r="K98" s="1" t="n"/>
      <c r="L98" s="1" t="n"/>
      <c r="M98" s="1" t="n"/>
      <c r="N98" s="1" t="n"/>
      <c r="O98" s="1" t="n"/>
    </row>
    <row r="99" ht="18" customHeight="1">
      <c r="A99" s="1" t="n"/>
      <c r="B99" s="39" t="n"/>
      <c r="C99" s="39" t="n"/>
      <c r="D99" s="39" t="n"/>
      <c r="E99" s="39" t="n"/>
      <c r="F99" s="39" t="n"/>
      <c r="G99" s="39" t="n"/>
      <c r="H99" s="40" t="n"/>
      <c r="I99" s="39" t="n"/>
      <c r="J99" s="39" t="n"/>
      <c r="K99" s="1" t="n"/>
      <c r="L99" s="1" t="n"/>
      <c r="M99" s="1" t="n"/>
      <c r="N99" s="1" t="n"/>
      <c r="O99" s="1" t="n"/>
    </row>
    <row r="100" ht="18" customHeight="1">
      <c r="A100" s="1" t="n"/>
      <c r="B100" s="33" t="n"/>
      <c r="C100" s="33" t="n"/>
      <c r="D100" s="33" t="n"/>
      <c r="E100" s="33" t="n"/>
      <c r="F100" s="33" t="n"/>
      <c r="G100" s="33" t="n"/>
      <c r="H100" s="42" t="n"/>
      <c r="I100" s="33" t="n"/>
      <c r="J100" s="33" t="n"/>
      <c r="K100" s="1" t="n"/>
      <c r="L100" s="1" t="n"/>
      <c r="M100" s="1" t="n"/>
      <c r="N100" s="1" t="n"/>
      <c r="O100" s="1" t="n"/>
    </row>
    <row r="101" ht="18" customHeight="1">
      <c r="A101" s="1" t="n"/>
      <c r="B101" s="39" t="n"/>
      <c r="C101" s="39" t="n"/>
      <c r="D101" s="39" t="n"/>
      <c r="E101" s="39" t="n"/>
      <c r="F101" s="39" t="n"/>
      <c r="G101" s="39" t="n"/>
      <c r="H101" s="40" t="n"/>
      <c r="I101" s="39" t="n"/>
      <c r="J101" s="39" t="n"/>
      <c r="K101" s="1" t="n"/>
      <c r="L101" s="1" t="n"/>
      <c r="M101" s="1" t="n"/>
      <c r="N101" s="1" t="n"/>
      <c r="O101" s="1" t="n"/>
    </row>
    <row r="102" ht="18" customHeight="1">
      <c r="A102" s="1" t="n"/>
      <c r="B102" s="33" t="n"/>
      <c r="C102" s="33" t="n"/>
      <c r="D102" s="33" t="n"/>
      <c r="E102" s="33" t="n"/>
      <c r="F102" s="33" t="n"/>
      <c r="G102" s="33" t="n"/>
      <c r="H102" s="42" t="n"/>
      <c r="I102" s="33" t="n"/>
      <c r="J102" s="33" t="n"/>
      <c r="K102" s="1" t="n"/>
      <c r="L102" s="1" t="n"/>
      <c r="M102" s="1" t="n"/>
      <c r="N102" s="1" t="n"/>
      <c r="O102" s="1" t="n"/>
    </row>
    <row r="103" ht="18" customHeight="1">
      <c r="A103" s="1" t="n"/>
      <c r="B103" s="39" t="n"/>
      <c r="C103" s="39" t="n"/>
      <c r="D103" s="39" t="n"/>
      <c r="E103" s="39" t="n"/>
      <c r="F103" s="39" t="n"/>
      <c r="G103" s="39" t="n"/>
      <c r="H103" s="40" t="n"/>
      <c r="I103" s="39" t="n"/>
      <c r="J103" s="39" t="n"/>
      <c r="K103" s="1" t="n"/>
      <c r="L103" s="1" t="n"/>
      <c r="M103" s="1" t="n"/>
      <c r="N103" s="1" t="n"/>
      <c r="O103" s="1" t="n"/>
    </row>
    <row r="104" ht="18" customHeight="1">
      <c r="A104" s="1" t="n"/>
      <c r="B104" s="33" t="n"/>
      <c r="C104" s="33" t="n"/>
      <c r="D104" s="33" t="n"/>
      <c r="E104" s="33" t="n"/>
      <c r="F104" s="33" t="n"/>
      <c r="G104" s="33" t="n"/>
      <c r="H104" s="42" t="n"/>
      <c r="I104" s="33" t="n"/>
      <c r="J104" s="33" t="n"/>
      <c r="K104" s="1" t="n"/>
      <c r="L104" s="1" t="n"/>
      <c r="M104" s="1" t="n"/>
      <c r="N104" s="1" t="n"/>
      <c r="O104" s="1" t="n"/>
    </row>
    <row r="105" ht="18" customHeight="1">
      <c r="A105" s="1" t="n"/>
      <c r="B105" s="39" t="n"/>
      <c r="C105" s="39" t="n"/>
      <c r="D105" s="39" t="n"/>
      <c r="E105" s="39" t="n"/>
      <c r="F105" s="39" t="n"/>
      <c r="G105" s="39" t="n"/>
      <c r="H105" s="40" t="n"/>
      <c r="I105" s="39" t="n"/>
      <c r="J105" s="39" t="n"/>
      <c r="K105" s="1" t="n"/>
      <c r="L105" s="1" t="n"/>
      <c r="M105" s="1" t="n"/>
      <c r="N105" s="1" t="n"/>
      <c r="O105" s="1" t="n"/>
    </row>
    <row r="106" ht="18" customHeight="1">
      <c r="A106" s="1" t="n"/>
      <c r="B106" s="33" t="n"/>
      <c r="C106" s="33" t="n"/>
      <c r="D106" s="33" t="n"/>
      <c r="E106" s="33" t="n"/>
      <c r="F106" s="33" t="n"/>
      <c r="G106" s="33" t="n"/>
      <c r="H106" s="42" t="n"/>
      <c r="I106" s="33" t="n"/>
      <c r="J106" s="33" t="n"/>
      <c r="K106" s="1" t="n"/>
      <c r="L106" s="1" t="n"/>
      <c r="M106" s="1" t="n"/>
      <c r="N106" s="1" t="n"/>
      <c r="O106" s="1" t="n"/>
    </row>
    <row r="107" ht="18" customHeight="1">
      <c r="A107" s="1" t="n"/>
      <c r="B107" s="39" t="n"/>
      <c r="C107" s="39" t="n"/>
      <c r="D107" s="39" t="n"/>
      <c r="E107" s="39" t="n"/>
      <c r="F107" s="39" t="n"/>
      <c r="G107" s="39" t="n"/>
      <c r="H107" s="40" t="n"/>
      <c r="I107" s="39" t="n"/>
      <c r="J107" s="39" t="n"/>
      <c r="K107" s="1" t="n"/>
      <c r="L107" s="1" t="n"/>
      <c r="M107" s="1" t="n"/>
      <c r="N107" s="1" t="n"/>
      <c r="O107" s="1" t="n"/>
    </row>
    <row r="108" ht="18" customHeight="1">
      <c r="A108" s="1" t="n"/>
      <c r="B108" s="33" t="n"/>
      <c r="C108" s="33" t="n"/>
      <c r="D108" s="33" t="n"/>
      <c r="E108" s="33" t="n"/>
      <c r="F108" s="33" t="n"/>
      <c r="G108" s="33" t="n"/>
      <c r="H108" s="42" t="n"/>
      <c r="I108" s="33" t="n"/>
      <c r="J108" s="33" t="n"/>
      <c r="K108" s="1" t="n"/>
      <c r="L108" s="1" t="n"/>
      <c r="M108" s="1" t="n"/>
      <c r="N108" s="1" t="n"/>
      <c r="O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</row>
  </sheetData>
  <mergeCells count="13">
    <mergeCell ref="B2:N2"/>
    <mergeCell ref="B5:D5"/>
    <mergeCell ref="E5:G5"/>
    <mergeCell ref="K4:M4"/>
    <mergeCell ref="H5:J5"/>
    <mergeCell ref="K5:M5"/>
    <mergeCell ref="B4:D4"/>
    <mergeCell ref="H4:J4"/>
    <mergeCell ref="K6:M6"/>
    <mergeCell ref="E4:G4"/>
    <mergeCell ref="B6:D6"/>
    <mergeCell ref="E6:G6"/>
    <mergeCell ref="H6:J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7AE60"/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 ht="35" customHeight="1">
      <c r="A2" s="1" t="n"/>
      <c r="B2" s="37" t="inlineStr">
        <is>
          <t>📈  METAS E PREVISÃO DE FATURAMENTO — CENTRAL TATTOO</t>
        </is>
      </c>
      <c r="Q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20" customHeight="1">
      <c r="A4" s="1" t="n"/>
      <c r="B4" s="31" t="inlineStr">
        <is>
          <t>🎯  QUANTO PRECISO TATUAR POR MÊS?</t>
        </is>
      </c>
      <c r="K4" s="1" t="n"/>
      <c r="L4" s="1" t="n"/>
      <c r="M4" s="1" t="n"/>
      <c r="N4" s="1" t="n"/>
      <c r="O4" s="1" t="n"/>
      <c r="P4" s="1" t="n"/>
      <c r="Q4" s="1" t="n"/>
    </row>
    <row r="5" ht="22" customHeight="1">
      <c r="A5" s="1" t="n"/>
      <c r="B5" s="57" t="inlineStr">
        <is>
          <t>Meta de faturamento mensal (R$)</t>
        </is>
      </c>
      <c r="H5" s="89" t="n">
        <v>5000</v>
      </c>
      <c r="K5" s="1" t="n"/>
      <c r="L5" s="1" t="n"/>
      <c r="M5" s="1" t="n"/>
      <c r="N5" s="1" t="n"/>
      <c r="O5" s="1" t="n"/>
      <c r="P5" s="1" t="n"/>
      <c r="Q5" s="1" t="n"/>
    </row>
    <row r="6" ht="22" customHeight="1">
      <c r="A6" s="1" t="n"/>
      <c r="B6" s="57" t="inlineStr">
        <is>
          <t>Horas disponíveis por dia</t>
        </is>
      </c>
      <c r="H6" s="58" t="n">
        <v>8</v>
      </c>
      <c r="K6" s="1" t="n"/>
      <c r="L6" s="1" t="n"/>
      <c r="M6" s="1" t="n"/>
      <c r="N6" s="1" t="n"/>
      <c r="O6" s="1" t="n"/>
      <c r="P6" s="1" t="n"/>
      <c r="Q6" s="1" t="n"/>
    </row>
    <row r="7" ht="22" customHeight="1">
      <c r="A7" s="1" t="n"/>
      <c r="B7" s="57" t="inlineStr">
        <is>
          <t>Dias trabalhados por mês</t>
        </is>
      </c>
      <c r="H7" s="58" t="n">
        <v>22</v>
      </c>
      <c r="K7" s="1" t="n"/>
      <c r="L7" s="1" t="n"/>
      <c r="M7" s="1" t="n"/>
      <c r="N7" s="1" t="n"/>
      <c r="O7" s="1" t="n"/>
      <c r="P7" s="1" t="n"/>
      <c r="Q7" s="1" t="n"/>
    </row>
    <row r="8" ht="22" customHeight="1">
      <c r="A8" s="1" t="n"/>
      <c r="B8" s="57" t="inlineStr">
        <is>
          <t>Ticket médio por sessão (R$)</t>
        </is>
      </c>
      <c r="H8" s="89" t="n">
        <v>600</v>
      </c>
      <c r="K8" s="1" t="n"/>
      <c r="L8" s="1" t="n"/>
      <c r="M8" s="1" t="n"/>
      <c r="N8" s="1" t="n"/>
      <c r="O8" s="1" t="n"/>
      <c r="P8" s="1" t="n"/>
      <c r="Q8" s="1" t="n"/>
    </row>
    <row r="9" ht="22" customHeight="1">
      <c r="A9" s="1" t="n"/>
      <c r="B9" s="57" t="inlineStr">
        <is>
          <t>Taxa de conversão de leads (%)</t>
        </is>
      </c>
      <c r="H9" s="90" t="n">
        <v>30</v>
      </c>
      <c r="K9" s="1" t="n"/>
      <c r="L9" s="1" t="n"/>
      <c r="M9" s="1" t="n"/>
      <c r="N9" s="1" t="n"/>
      <c r="O9" s="1" t="n"/>
      <c r="P9" s="1" t="n"/>
      <c r="Q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20" customHeight="1">
      <c r="A11" s="1" t="n"/>
      <c r="B11" s="31" t="inlineStr">
        <is>
          <t>📊  RESULTADOS</t>
        </is>
      </c>
      <c r="K11" s="1" t="n"/>
      <c r="L11" s="1" t="n"/>
      <c r="M11" s="1" t="n"/>
      <c r="N11" s="1" t="n"/>
      <c r="O11" s="1" t="n"/>
      <c r="P11" s="1" t="n"/>
      <c r="Q11" s="1" t="n"/>
    </row>
    <row r="12" ht="24" customHeight="1">
      <c r="A12" s="1" t="n"/>
      <c r="B12" s="62" t="inlineStr">
        <is>
          <t>Sessões necessárias/mês</t>
        </is>
      </c>
      <c r="H12" s="91">
        <f>CEILING(B5/B8,1)</f>
        <v/>
      </c>
      <c r="K12" s="1" t="n"/>
      <c r="L12" s="1" t="n"/>
      <c r="M12" s="1" t="n"/>
      <c r="N12" s="1" t="n"/>
      <c r="O12" s="1" t="n"/>
      <c r="P12" s="1" t="n"/>
      <c r="Q12" s="1" t="n"/>
    </row>
    <row r="13" ht="24" customHeight="1">
      <c r="A13" s="1" t="n"/>
      <c r="B13" s="62" t="inlineStr">
        <is>
          <t>Horas de trabalho/dia necessárias</t>
        </is>
      </c>
      <c r="H13" s="92">
        <f>IFERROR((B9*B8)/(B8*B6),0)</f>
        <v/>
      </c>
      <c r="K13" s="1" t="n"/>
      <c r="L13" s="1" t="n"/>
      <c r="M13" s="1" t="n"/>
      <c r="N13" s="1" t="n"/>
      <c r="O13" s="1" t="n"/>
      <c r="P13" s="1" t="n"/>
      <c r="Q13" s="1" t="n"/>
    </row>
    <row r="14" ht="24" customHeight="1">
      <c r="A14" s="1" t="n"/>
      <c r="B14" s="62" t="inlineStr">
        <is>
          <t>Leads necessários p/ atingir meta</t>
        </is>
      </c>
      <c r="H14" s="93">
        <f>CEILING(B9/B7,1)</f>
        <v/>
      </c>
      <c r="K14" s="1" t="n"/>
      <c r="L14" s="1" t="n"/>
      <c r="M14" s="1" t="n"/>
      <c r="N14" s="1" t="n"/>
      <c r="O14" s="1" t="n"/>
      <c r="P14" s="1" t="n"/>
      <c r="Q14" s="1" t="n"/>
    </row>
    <row r="15" ht="24" customHeight="1">
      <c r="A15" s="1" t="n"/>
      <c r="B15" s="62" t="inlineStr">
        <is>
          <t>Faturamento possível (cheio)</t>
        </is>
      </c>
      <c r="H15" s="94">
        <f>B6*B7*B8</f>
        <v/>
      </c>
      <c r="K15" s="1" t="n"/>
      <c r="L15" s="1" t="n"/>
      <c r="M15" s="1" t="n"/>
      <c r="N15" s="1" t="n"/>
      <c r="O15" s="1" t="n"/>
      <c r="P15" s="1" t="n"/>
      <c r="Q15" s="1" t="n"/>
    </row>
    <row r="16" ht="24" customHeight="1">
      <c r="A16" s="1" t="n"/>
      <c r="B16" s="62" t="inlineStr">
        <is>
          <t>Folga de capacidade</t>
        </is>
      </c>
      <c r="H16" s="95">
        <f>B15-B5</f>
        <v/>
      </c>
      <c r="K16" s="1" t="n"/>
      <c r="L16" s="1" t="n"/>
      <c r="M16" s="1" t="n"/>
      <c r="N16" s="1" t="n"/>
      <c r="O16" s="1" t="n"/>
      <c r="P16" s="1" t="n"/>
      <c r="Q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20" customHeight="1">
      <c r="A19" s="1" t="n"/>
      <c r="B19" s="31" t="inlineStr">
        <is>
          <t>📅  PROJEÇÃO 12 MESES</t>
        </is>
      </c>
      <c r="Q19" s="1" t="n"/>
    </row>
    <row r="20">
      <c r="A20" s="1" t="n"/>
      <c r="B20" s="38" t="inlineStr">
        <is>
          <t>MÉTRICA</t>
        </is>
      </c>
      <c r="C20" s="38" t="inlineStr">
        <is>
          <t>Jan</t>
        </is>
      </c>
      <c r="D20" s="38" t="inlineStr">
        <is>
          <t>Fev</t>
        </is>
      </c>
      <c r="E20" s="38" t="inlineStr">
        <is>
          <t>Mar</t>
        </is>
      </c>
      <c r="F20" s="38" t="inlineStr">
        <is>
          <t>Abr</t>
        </is>
      </c>
      <c r="G20" s="38" t="inlineStr">
        <is>
          <t>Mai</t>
        </is>
      </c>
      <c r="H20" s="38" t="inlineStr">
        <is>
          <t>Jun</t>
        </is>
      </c>
      <c r="I20" s="38" t="inlineStr">
        <is>
          <t>Jul</t>
        </is>
      </c>
      <c r="J20" s="38" t="inlineStr">
        <is>
          <t>Ago</t>
        </is>
      </c>
      <c r="K20" s="38" t="inlineStr">
        <is>
          <t>Set</t>
        </is>
      </c>
      <c r="L20" s="38" t="inlineStr">
        <is>
          <t>Out</t>
        </is>
      </c>
      <c r="M20" s="38" t="inlineStr">
        <is>
          <t>Nov</t>
        </is>
      </c>
      <c r="N20" s="38" t="inlineStr">
        <is>
          <t>Dez</t>
        </is>
      </c>
      <c r="O20" s="1" t="n"/>
      <c r="P20" s="1" t="n"/>
      <c r="Q20" s="1" t="n"/>
    </row>
    <row r="21" ht="20" customHeight="1">
      <c r="A21" s="1" t="n"/>
      <c r="B21" s="62" t="inlineStr">
        <is>
          <t>Meta (R$)</t>
        </is>
      </c>
      <c r="C21" s="40" t="n"/>
      <c r="D21" s="40" t="n"/>
      <c r="E21" s="40" t="n"/>
      <c r="F21" s="40" t="n"/>
      <c r="G21" s="40" t="n"/>
      <c r="H21" s="40" t="n"/>
      <c r="I21" s="40" t="n"/>
      <c r="J21" s="40" t="n"/>
      <c r="K21" s="40" t="n"/>
      <c r="L21" s="40" t="n"/>
      <c r="M21" s="40" t="n"/>
      <c r="N21" s="40" t="n"/>
      <c r="O21" s="1" t="n"/>
      <c r="P21" s="1" t="n"/>
      <c r="Q21" s="1" t="n"/>
    </row>
    <row r="22" ht="20" customHeight="1">
      <c r="A22" s="1" t="n"/>
      <c r="B22" s="62" t="inlineStr">
        <is>
          <t>Realizado (R$)</t>
        </is>
      </c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1" t="n"/>
      <c r="P22" s="1" t="n"/>
      <c r="Q22" s="1" t="n"/>
    </row>
    <row r="23" ht="20" customHeight="1">
      <c r="A23" s="1" t="n"/>
      <c r="B23" s="62" t="inlineStr">
        <is>
          <t>Atingido (%)</t>
        </is>
      </c>
      <c r="C23" s="96" t="n"/>
      <c r="D23" s="96" t="n"/>
      <c r="E23" s="96" t="n"/>
      <c r="F23" s="96" t="n"/>
      <c r="G23" s="96" t="n"/>
      <c r="H23" s="96" t="n"/>
      <c r="I23" s="96" t="n"/>
      <c r="J23" s="96" t="n"/>
      <c r="K23" s="96" t="n"/>
      <c r="L23" s="96" t="n"/>
      <c r="M23" s="96" t="n"/>
      <c r="N23" s="96" t="n"/>
      <c r="O23" s="1" t="n"/>
      <c r="P23" s="1" t="n"/>
      <c r="Q23" s="1" t="n"/>
    </row>
    <row r="24" ht="20" customHeight="1">
      <c r="A24" s="1" t="n"/>
      <c r="B24" s="62" t="inlineStr">
        <is>
          <t>Sessões Planej.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" t="n"/>
      <c r="P24" s="1" t="n"/>
      <c r="Q24" s="1" t="n"/>
    </row>
    <row r="25" ht="20" customHeight="1">
      <c r="A25" s="1" t="n"/>
      <c r="B25" s="62" t="inlineStr">
        <is>
          <t>Sessões Reais</t>
        </is>
      </c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1" t="n"/>
      <c r="P25" s="1" t="n"/>
      <c r="Q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</sheetData>
  <mergeCells count="24">
    <mergeCell ref="B11:J11"/>
    <mergeCell ref="B2:P2"/>
    <mergeCell ref="B14:G14"/>
    <mergeCell ref="B8:G8"/>
    <mergeCell ref="B13:G13"/>
    <mergeCell ref="H7:J7"/>
    <mergeCell ref="H16:J16"/>
    <mergeCell ref="H13:J13"/>
    <mergeCell ref="B19:P19"/>
    <mergeCell ref="B9:G9"/>
    <mergeCell ref="H12:J12"/>
    <mergeCell ref="B15:G15"/>
    <mergeCell ref="B6:G6"/>
    <mergeCell ref="H15:J15"/>
    <mergeCell ref="B5:G5"/>
    <mergeCell ref="H14:J14"/>
    <mergeCell ref="H5:J5"/>
    <mergeCell ref="H8:J8"/>
    <mergeCell ref="B4:J4"/>
    <mergeCell ref="B7:G7"/>
    <mergeCell ref="B16:G16"/>
    <mergeCell ref="H9:J9"/>
    <mergeCell ref="B12:G12"/>
    <mergeCell ref="H6:J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91E8C"/>
    <outlinePr summaryBelow="1" summaryRight="1"/>
    <pageSetUpPr/>
  </sheetPr>
  <dimension ref="A1:M1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  <col width="20" customWidth="1" min="11" max="11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5" customHeight="1">
      <c r="A2" s="1" t="n"/>
      <c r="B2" s="37" t="inlineStr">
        <is>
          <t>💎  CONTROLE DE SINAIS E PAGAMENTOS</t>
        </is>
      </c>
    </row>
    <row r="3" ht="26" customHeight="1">
      <c r="A3" s="1" t="n"/>
      <c r="B3" s="36" t="inlineStr">
        <is>
          <t>AGUARDANDO</t>
        </is>
      </c>
      <c r="E3" s="36" t="inlineStr">
        <is>
          <t>RECEBIDOS</t>
        </is>
      </c>
      <c r="H3" s="36" t="inlineStr">
        <is>
          <t>ATRASADOS</t>
        </is>
      </c>
      <c r="K3" s="36" t="inlineStr">
        <is>
          <t>TOTAL SINAIS</t>
        </is>
      </c>
    </row>
    <row r="4" ht="36" customHeight="1">
      <c r="A4" s="1" t="n"/>
      <c r="B4" s="97">
        <f>COUNTIF(I5:I104,"Pendente")</f>
        <v/>
      </c>
      <c r="E4" s="98">
        <f>COUNTIF(I5:I104,"Pago")</f>
        <v/>
      </c>
      <c r="H4" s="99">
        <f>COUNTIF(I5:I104,"Atrasado")</f>
        <v/>
      </c>
      <c r="K4" s="100">
        <f>SUM(F5:F104)</f>
        <v/>
      </c>
    </row>
    <row r="5">
      <c r="A5" s="1" t="n"/>
      <c r="B5" s="38" t="inlineStr">
        <is>
          <t>CLIENTE</t>
        </is>
      </c>
      <c r="C5" s="38" t="inlineStr">
        <is>
          <t>DATA SESSÃO</t>
        </is>
      </c>
      <c r="D5" s="38" t="inlineStr">
        <is>
          <t>DATA VENCIM.</t>
        </is>
      </c>
      <c r="E5" s="38" t="inlineStr">
        <is>
          <t>ESTILO</t>
        </is>
      </c>
      <c r="F5" s="38" t="inlineStr">
        <is>
          <t>VALOR TOTAL</t>
        </is>
      </c>
      <c r="G5" s="38" t="inlineStr">
        <is>
          <t>SINAL COBRADO</t>
        </is>
      </c>
      <c r="H5" s="38" t="inlineStr">
        <is>
          <t>SALDO</t>
        </is>
      </c>
      <c r="I5" s="38" t="inlineStr">
        <is>
          <t>DATA PAGTO</t>
        </is>
      </c>
      <c r="J5" s="38" t="inlineStr">
        <is>
          <t>STATUS</t>
        </is>
      </c>
      <c r="K5" s="38" t="inlineStr">
        <is>
          <t>OBSERVAÇÕES</t>
        </is>
      </c>
      <c r="L5" s="1" t="n"/>
      <c r="M5" s="1" t="n"/>
    </row>
    <row r="6" ht="18" customHeight="1">
      <c r="A6" s="1" t="n"/>
      <c r="B6" s="33" t="n"/>
      <c r="C6" s="33" t="n"/>
      <c r="D6" s="33" t="n"/>
      <c r="E6" s="33" t="n"/>
      <c r="F6" s="42" t="n"/>
      <c r="G6" s="42" t="n"/>
      <c r="H6" s="42">
        <f>IF(F6&lt;&gt;"",F6-G6,"")</f>
        <v/>
      </c>
      <c r="I6" s="33" t="n"/>
      <c r="J6" s="33" t="n"/>
      <c r="K6" s="33" t="n"/>
      <c r="L6" s="1" t="n"/>
      <c r="M6" s="1" t="n"/>
    </row>
    <row r="7" ht="18" customHeight="1">
      <c r="A7" s="1" t="n"/>
      <c r="B7" s="39" t="n"/>
      <c r="C7" s="39" t="n"/>
      <c r="D7" s="39" t="n"/>
      <c r="E7" s="39" t="n"/>
      <c r="F7" s="40" t="n"/>
      <c r="G7" s="40" t="n"/>
      <c r="H7" s="40">
        <f>IF(F7&lt;&gt;"",F7-G7,"")</f>
        <v/>
      </c>
      <c r="I7" s="39" t="n"/>
      <c r="J7" s="39" t="n"/>
      <c r="K7" s="39" t="n"/>
      <c r="L7" s="1" t="n"/>
      <c r="M7" s="1" t="n"/>
    </row>
    <row r="8" ht="18" customHeight="1">
      <c r="A8" s="1" t="n"/>
      <c r="B8" s="33" t="n"/>
      <c r="C8" s="33" t="n"/>
      <c r="D8" s="33" t="n"/>
      <c r="E8" s="33" t="n"/>
      <c r="F8" s="42" t="n"/>
      <c r="G8" s="42" t="n"/>
      <c r="H8" s="42">
        <f>IF(F8&lt;&gt;"",F8-G8,"")</f>
        <v/>
      </c>
      <c r="I8" s="33" t="n"/>
      <c r="J8" s="33" t="n"/>
      <c r="K8" s="33" t="n"/>
      <c r="L8" s="1" t="n"/>
      <c r="M8" s="1" t="n"/>
    </row>
    <row r="9" ht="18" customHeight="1">
      <c r="A9" s="1" t="n"/>
      <c r="B9" s="39" t="n"/>
      <c r="C9" s="39" t="n"/>
      <c r="D9" s="39" t="n"/>
      <c r="E9" s="39" t="n"/>
      <c r="F9" s="40" t="n"/>
      <c r="G9" s="40" t="n"/>
      <c r="H9" s="40">
        <f>IF(F9&lt;&gt;"",F9-G9,"")</f>
        <v/>
      </c>
      <c r="I9" s="39" t="n"/>
      <c r="J9" s="39" t="n"/>
      <c r="K9" s="39" t="n"/>
      <c r="L9" s="1" t="n"/>
      <c r="M9" s="1" t="n"/>
    </row>
    <row r="10" ht="18" customHeight="1">
      <c r="A10" s="1" t="n"/>
      <c r="B10" s="33" t="n"/>
      <c r="C10" s="33" t="n"/>
      <c r="D10" s="33" t="n"/>
      <c r="E10" s="33" t="n"/>
      <c r="F10" s="42" t="n"/>
      <c r="G10" s="42" t="n"/>
      <c r="H10" s="42">
        <f>IF(F10&lt;&gt;"",F10-G10,"")</f>
        <v/>
      </c>
      <c r="I10" s="33" t="n"/>
      <c r="J10" s="33" t="n"/>
      <c r="K10" s="33" t="n"/>
      <c r="L10" s="1" t="n"/>
      <c r="M10" s="1" t="n"/>
    </row>
    <row r="11" ht="18" customHeight="1">
      <c r="A11" s="1" t="n"/>
      <c r="B11" s="39" t="n"/>
      <c r="C11" s="39" t="n"/>
      <c r="D11" s="39" t="n"/>
      <c r="E11" s="39" t="n"/>
      <c r="F11" s="40" t="n"/>
      <c r="G11" s="40" t="n"/>
      <c r="H11" s="40">
        <f>IF(F11&lt;&gt;"",F11-G11,"")</f>
        <v/>
      </c>
      <c r="I11" s="39" t="n"/>
      <c r="J11" s="39" t="n"/>
      <c r="K11" s="39" t="n"/>
      <c r="L11" s="1" t="n"/>
      <c r="M11" s="1" t="n"/>
    </row>
    <row r="12" ht="18" customHeight="1">
      <c r="A12" s="1" t="n"/>
      <c r="B12" s="33" t="n"/>
      <c r="C12" s="33" t="n"/>
      <c r="D12" s="33" t="n"/>
      <c r="E12" s="33" t="n"/>
      <c r="F12" s="42" t="n"/>
      <c r="G12" s="42" t="n"/>
      <c r="H12" s="42">
        <f>IF(F12&lt;&gt;"",F12-G12,"")</f>
        <v/>
      </c>
      <c r="I12" s="33" t="n"/>
      <c r="J12" s="33" t="n"/>
      <c r="K12" s="33" t="n"/>
      <c r="L12" s="1" t="n"/>
      <c r="M12" s="1" t="n"/>
    </row>
    <row r="13" ht="18" customHeight="1">
      <c r="A13" s="1" t="n"/>
      <c r="B13" s="39" t="n"/>
      <c r="C13" s="39" t="n"/>
      <c r="D13" s="39" t="n"/>
      <c r="E13" s="39" t="n"/>
      <c r="F13" s="40" t="n"/>
      <c r="G13" s="40" t="n"/>
      <c r="H13" s="40">
        <f>IF(F13&lt;&gt;"",F13-G13,"")</f>
        <v/>
      </c>
      <c r="I13" s="39" t="n"/>
      <c r="J13" s="39" t="n"/>
      <c r="K13" s="39" t="n"/>
      <c r="L13" s="1" t="n"/>
      <c r="M13" s="1" t="n"/>
    </row>
    <row r="14" ht="18" customHeight="1">
      <c r="A14" s="1" t="n"/>
      <c r="B14" s="33" t="n"/>
      <c r="C14" s="33" t="n"/>
      <c r="D14" s="33" t="n"/>
      <c r="E14" s="33" t="n"/>
      <c r="F14" s="42" t="n"/>
      <c r="G14" s="42" t="n"/>
      <c r="H14" s="42">
        <f>IF(F14&lt;&gt;"",F14-G14,"")</f>
        <v/>
      </c>
      <c r="I14" s="33" t="n"/>
      <c r="J14" s="33" t="n"/>
      <c r="K14" s="33" t="n"/>
      <c r="L14" s="1" t="n"/>
      <c r="M14" s="1" t="n"/>
    </row>
    <row r="15" ht="18" customHeight="1">
      <c r="A15" s="1" t="n"/>
      <c r="B15" s="39" t="n"/>
      <c r="C15" s="39" t="n"/>
      <c r="D15" s="39" t="n"/>
      <c r="E15" s="39" t="n"/>
      <c r="F15" s="40" t="n"/>
      <c r="G15" s="40" t="n"/>
      <c r="H15" s="40">
        <f>IF(F15&lt;&gt;"",F15-G15,"")</f>
        <v/>
      </c>
      <c r="I15" s="39" t="n"/>
      <c r="J15" s="39" t="n"/>
      <c r="K15" s="39" t="n"/>
      <c r="L15" s="1" t="n"/>
      <c r="M15" s="1" t="n"/>
    </row>
    <row r="16" ht="18" customHeight="1">
      <c r="A16" s="1" t="n"/>
      <c r="B16" s="33" t="n"/>
      <c r="C16" s="33" t="n"/>
      <c r="D16" s="33" t="n"/>
      <c r="E16" s="33" t="n"/>
      <c r="F16" s="42" t="n"/>
      <c r="G16" s="42" t="n"/>
      <c r="H16" s="42">
        <f>IF(F16&lt;&gt;"",F16-G16,"")</f>
        <v/>
      </c>
      <c r="I16" s="33" t="n"/>
      <c r="J16" s="33" t="n"/>
      <c r="K16" s="33" t="n"/>
      <c r="L16" s="1" t="n"/>
      <c r="M16" s="1" t="n"/>
    </row>
    <row r="17" ht="18" customHeight="1">
      <c r="A17" s="1" t="n"/>
      <c r="B17" s="39" t="n"/>
      <c r="C17" s="39" t="n"/>
      <c r="D17" s="39" t="n"/>
      <c r="E17" s="39" t="n"/>
      <c r="F17" s="40" t="n"/>
      <c r="G17" s="40" t="n"/>
      <c r="H17" s="40">
        <f>IF(F17&lt;&gt;"",F17-G17,"")</f>
        <v/>
      </c>
      <c r="I17" s="39" t="n"/>
      <c r="J17" s="39" t="n"/>
      <c r="K17" s="39" t="n"/>
      <c r="L17" s="1" t="n"/>
      <c r="M17" s="1" t="n"/>
    </row>
    <row r="18" ht="18" customHeight="1">
      <c r="A18" s="1" t="n"/>
      <c r="B18" s="33" t="n"/>
      <c r="C18" s="33" t="n"/>
      <c r="D18" s="33" t="n"/>
      <c r="E18" s="33" t="n"/>
      <c r="F18" s="42" t="n"/>
      <c r="G18" s="42" t="n"/>
      <c r="H18" s="42">
        <f>IF(F18&lt;&gt;"",F18-G18,"")</f>
        <v/>
      </c>
      <c r="I18" s="33" t="n"/>
      <c r="J18" s="33" t="n"/>
      <c r="K18" s="33" t="n"/>
      <c r="L18" s="1" t="n"/>
      <c r="M18" s="1" t="n"/>
    </row>
    <row r="19" ht="18" customHeight="1">
      <c r="A19" s="1" t="n"/>
      <c r="B19" s="39" t="n"/>
      <c r="C19" s="39" t="n"/>
      <c r="D19" s="39" t="n"/>
      <c r="E19" s="39" t="n"/>
      <c r="F19" s="40" t="n"/>
      <c r="G19" s="40" t="n"/>
      <c r="H19" s="40">
        <f>IF(F19&lt;&gt;"",F19-G19,"")</f>
        <v/>
      </c>
      <c r="I19" s="39" t="n"/>
      <c r="J19" s="39" t="n"/>
      <c r="K19" s="39" t="n"/>
      <c r="L19" s="1" t="n"/>
      <c r="M19" s="1" t="n"/>
    </row>
    <row r="20" ht="18" customHeight="1">
      <c r="A20" s="1" t="n"/>
      <c r="B20" s="33" t="n"/>
      <c r="C20" s="33" t="n"/>
      <c r="D20" s="33" t="n"/>
      <c r="E20" s="33" t="n"/>
      <c r="F20" s="42" t="n"/>
      <c r="G20" s="42" t="n"/>
      <c r="H20" s="42">
        <f>IF(F20&lt;&gt;"",F20-G20,"")</f>
        <v/>
      </c>
      <c r="I20" s="33" t="n"/>
      <c r="J20" s="33" t="n"/>
      <c r="K20" s="33" t="n"/>
      <c r="L20" s="1" t="n"/>
      <c r="M20" s="1" t="n"/>
    </row>
    <row r="21" ht="18" customHeight="1">
      <c r="A21" s="1" t="n"/>
      <c r="B21" s="39" t="n"/>
      <c r="C21" s="39" t="n"/>
      <c r="D21" s="39" t="n"/>
      <c r="E21" s="39" t="n"/>
      <c r="F21" s="40" t="n"/>
      <c r="G21" s="40" t="n"/>
      <c r="H21" s="40">
        <f>IF(F21&lt;&gt;"",F21-G21,"")</f>
        <v/>
      </c>
      <c r="I21" s="39" t="n"/>
      <c r="J21" s="39" t="n"/>
      <c r="K21" s="39" t="n"/>
      <c r="L21" s="1" t="n"/>
      <c r="M21" s="1" t="n"/>
    </row>
    <row r="22" ht="18" customHeight="1">
      <c r="A22" s="1" t="n"/>
      <c r="B22" s="33" t="n"/>
      <c r="C22" s="33" t="n"/>
      <c r="D22" s="33" t="n"/>
      <c r="E22" s="33" t="n"/>
      <c r="F22" s="42" t="n"/>
      <c r="G22" s="42" t="n"/>
      <c r="H22" s="42">
        <f>IF(F22&lt;&gt;"",F22-G22,"")</f>
        <v/>
      </c>
      <c r="I22" s="33" t="n"/>
      <c r="J22" s="33" t="n"/>
      <c r="K22" s="33" t="n"/>
      <c r="L22" s="1" t="n"/>
      <c r="M22" s="1" t="n"/>
    </row>
    <row r="23" ht="18" customHeight="1">
      <c r="A23" s="1" t="n"/>
      <c r="B23" s="39" t="n"/>
      <c r="C23" s="39" t="n"/>
      <c r="D23" s="39" t="n"/>
      <c r="E23" s="39" t="n"/>
      <c r="F23" s="40" t="n"/>
      <c r="G23" s="40" t="n"/>
      <c r="H23" s="40">
        <f>IF(F23&lt;&gt;"",F23-G23,"")</f>
        <v/>
      </c>
      <c r="I23" s="39" t="n"/>
      <c r="J23" s="39" t="n"/>
      <c r="K23" s="39" t="n"/>
      <c r="L23" s="1" t="n"/>
      <c r="M23" s="1" t="n"/>
    </row>
    <row r="24" ht="18" customHeight="1">
      <c r="A24" s="1" t="n"/>
      <c r="B24" s="33" t="n"/>
      <c r="C24" s="33" t="n"/>
      <c r="D24" s="33" t="n"/>
      <c r="E24" s="33" t="n"/>
      <c r="F24" s="42" t="n"/>
      <c r="G24" s="42" t="n"/>
      <c r="H24" s="42">
        <f>IF(F24&lt;&gt;"",F24-G24,"")</f>
        <v/>
      </c>
      <c r="I24" s="33" t="n"/>
      <c r="J24" s="33" t="n"/>
      <c r="K24" s="33" t="n"/>
      <c r="L24" s="1" t="n"/>
      <c r="M24" s="1" t="n"/>
    </row>
    <row r="25" ht="18" customHeight="1">
      <c r="A25" s="1" t="n"/>
      <c r="B25" s="39" t="n"/>
      <c r="C25" s="39" t="n"/>
      <c r="D25" s="39" t="n"/>
      <c r="E25" s="39" t="n"/>
      <c r="F25" s="40" t="n"/>
      <c r="G25" s="40" t="n"/>
      <c r="H25" s="40">
        <f>IF(F25&lt;&gt;"",F25-G25,"")</f>
        <v/>
      </c>
      <c r="I25" s="39" t="n"/>
      <c r="J25" s="39" t="n"/>
      <c r="K25" s="39" t="n"/>
      <c r="L25" s="1" t="n"/>
      <c r="M25" s="1" t="n"/>
    </row>
    <row r="26" ht="18" customHeight="1">
      <c r="A26" s="1" t="n"/>
      <c r="B26" s="33" t="n"/>
      <c r="C26" s="33" t="n"/>
      <c r="D26" s="33" t="n"/>
      <c r="E26" s="33" t="n"/>
      <c r="F26" s="42" t="n"/>
      <c r="G26" s="42" t="n"/>
      <c r="H26" s="42">
        <f>IF(F26&lt;&gt;"",F26-G26,"")</f>
        <v/>
      </c>
      <c r="I26" s="33" t="n"/>
      <c r="J26" s="33" t="n"/>
      <c r="K26" s="33" t="n"/>
      <c r="L26" s="1" t="n"/>
      <c r="M26" s="1" t="n"/>
    </row>
    <row r="27" ht="18" customHeight="1">
      <c r="A27" s="1" t="n"/>
      <c r="B27" s="39" t="n"/>
      <c r="C27" s="39" t="n"/>
      <c r="D27" s="39" t="n"/>
      <c r="E27" s="39" t="n"/>
      <c r="F27" s="40" t="n"/>
      <c r="G27" s="40" t="n"/>
      <c r="H27" s="40">
        <f>IF(F27&lt;&gt;"",F27-G27,"")</f>
        <v/>
      </c>
      <c r="I27" s="39" t="n"/>
      <c r="J27" s="39" t="n"/>
      <c r="K27" s="39" t="n"/>
      <c r="L27" s="1" t="n"/>
      <c r="M27" s="1" t="n"/>
    </row>
    <row r="28" ht="18" customHeight="1">
      <c r="A28" s="1" t="n"/>
      <c r="B28" s="33" t="n"/>
      <c r="C28" s="33" t="n"/>
      <c r="D28" s="33" t="n"/>
      <c r="E28" s="33" t="n"/>
      <c r="F28" s="42" t="n"/>
      <c r="G28" s="42" t="n"/>
      <c r="H28" s="42">
        <f>IF(F28&lt;&gt;"",F28-G28,"")</f>
        <v/>
      </c>
      <c r="I28" s="33" t="n"/>
      <c r="J28" s="33" t="n"/>
      <c r="K28" s="33" t="n"/>
      <c r="L28" s="1" t="n"/>
      <c r="M28" s="1" t="n"/>
    </row>
    <row r="29" ht="18" customHeight="1">
      <c r="A29" s="1" t="n"/>
      <c r="B29" s="39" t="n"/>
      <c r="C29" s="39" t="n"/>
      <c r="D29" s="39" t="n"/>
      <c r="E29" s="39" t="n"/>
      <c r="F29" s="40" t="n"/>
      <c r="G29" s="40" t="n"/>
      <c r="H29" s="40">
        <f>IF(F29&lt;&gt;"",F29-G29,"")</f>
        <v/>
      </c>
      <c r="I29" s="39" t="n"/>
      <c r="J29" s="39" t="n"/>
      <c r="K29" s="39" t="n"/>
      <c r="L29" s="1" t="n"/>
      <c r="M29" s="1" t="n"/>
    </row>
    <row r="30" ht="18" customHeight="1">
      <c r="A30" s="1" t="n"/>
      <c r="B30" s="33" t="n"/>
      <c r="C30" s="33" t="n"/>
      <c r="D30" s="33" t="n"/>
      <c r="E30" s="33" t="n"/>
      <c r="F30" s="42" t="n"/>
      <c r="G30" s="42" t="n"/>
      <c r="H30" s="42">
        <f>IF(F30&lt;&gt;"",F30-G30,"")</f>
        <v/>
      </c>
      <c r="I30" s="33" t="n"/>
      <c r="J30" s="33" t="n"/>
      <c r="K30" s="33" t="n"/>
      <c r="L30" s="1" t="n"/>
      <c r="M30" s="1" t="n"/>
    </row>
    <row r="31" ht="18" customHeight="1">
      <c r="A31" s="1" t="n"/>
      <c r="B31" s="39" t="n"/>
      <c r="C31" s="39" t="n"/>
      <c r="D31" s="39" t="n"/>
      <c r="E31" s="39" t="n"/>
      <c r="F31" s="40" t="n"/>
      <c r="G31" s="40" t="n"/>
      <c r="H31" s="40">
        <f>IF(F31&lt;&gt;"",F31-G31,"")</f>
        <v/>
      </c>
      <c r="I31" s="39" t="n"/>
      <c r="J31" s="39" t="n"/>
      <c r="K31" s="39" t="n"/>
      <c r="L31" s="1" t="n"/>
      <c r="M31" s="1" t="n"/>
    </row>
    <row r="32" ht="18" customHeight="1">
      <c r="A32" s="1" t="n"/>
      <c r="B32" s="33" t="n"/>
      <c r="C32" s="33" t="n"/>
      <c r="D32" s="33" t="n"/>
      <c r="E32" s="33" t="n"/>
      <c r="F32" s="42" t="n"/>
      <c r="G32" s="42" t="n"/>
      <c r="H32" s="42">
        <f>IF(F32&lt;&gt;"",F32-G32,"")</f>
        <v/>
      </c>
      <c r="I32" s="33" t="n"/>
      <c r="J32" s="33" t="n"/>
      <c r="K32" s="33" t="n"/>
      <c r="L32" s="1" t="n"/>
      <c r="M32" s="1" t="n"/>
    </row>
    <row r="33" ht="18" customHeight="1">
      <c r="A33" s="1" t="n"/>
      <c r="B33" s="39" t="n"/>
      <c r="C33" s="39" t="n"/>
      <c r="D33" s="39" t="n"/>
      <c r="E33" s="39" t="n"/>
      <c r="F33" s="40" t="n"/>
      <c r="G33" s="40" t="n"/>
      <c r="H33" s="40">
        <f>IF(F33&lt;&gt;"",F33-G33,"")</f>
        <v/>
      </c>
      <c r="I33" s="39" t="n"/>
      <c r="J33" s="39" t="n"/>
      <c r="K33" s="39" t="n"/>
      <c r="L33" s="1" t="n"/>
      <c r="M33" s="1" t="n"/>
    </row>
    <row r="34" ht="18" customHeight="1">
      <c r="A34" s="1" t="n"/>
      <c r="B34" s="33" t="n"/>
      <c r="C34" s="33" t="n"/>
      <c r="D34" s="33" t="n"/>
      <c r="E34" s="33" t="n"/>
      <c r="F34" s="42" t="n"/>
      <c r="G34" s="42" t="n"/>
      <c r="H34" s="42">
        <f>IF(F34&lt;&gt;"",F34-G34,"")</f>
        <v/>
      </c>
      <c r="I34" s="33" t="n"/>
      <c r="J34" s="33" t="n"/>
      <c r="K34" s="33" t="n"/>
      <c r="L34" s="1" t="n"/>
      <c r="M34" s="1" t="n"/>
    </row>
    <row r="35" ht="18" customHeight="1">
      <c r="A35" s="1" t="n"/>
      <c r="B35" s="39" t="n"/>
      <c r="C35" s="39" t="n"/>
      <c r="D35" s="39" t="n"/>
      <c r="E35" s="39" t="n"/>
      <c r="F35" s="40" t="n"/>
      <c r="G35" s="40" t="n"/>
      <c r="H35" s="40">
        <f>IF(F35&lt;&gt;"",F35-G35,"")</f>
        <v/>
      </c>
      <c r="I35" s="39" t="n"/>
      <c r="J35" s="39" t="n"/>
      <c r="K35" s="39" t="n"/>
      <c r="L35" s="1" t="n"/>
      <c r="M35" s="1" t="n"/>
    </row>
    <row r="36" ht="18" customHeight="1">
      <c r="A36" s="1" t="n"/>
      <c r="B36" s="33" t="n"/>
      <c r="C36" s="33" t="n"/>
      <c r="D36" s="33" t="n"/>
      <c r="E36" s="33" t="n"/>
      <c r="F36" s="42" t="n"/>
      <c r="G36" s="42" t="n"/>
      <c r="H36" s="42">
        <f>IF(F36&lt;&gt;"",F36-G36,"")</f>
        <v/>
      </c>
      <c r="I36" s="33" t="n"/>
      <c r="J36" s="33" t="n"/>
      <c r="K36" s="33" t="n"/>
      <c r="L36" s="1" t="n"/>
      <c r="M36" s="1" t="n"/>
    </row>
    <row r="37" ht="18" customHeight="1">
      <c r="A37" s="1" t="n"/>
      <c r="B37" s="39" t="n"/>
      <c r="C37" s="39" t="n"/>
      <c r="D37" s="39" t="n"/>
      <c r="E37" s="39" t="n"/>
      <c r="F37" s="40" t="n"/>
      <c r="G37" s="40" t="n"/>
      <c r="H37" s="40">
        <f>IF(F37&lt;&gt;"",F37-G37,"")</f>
        <v/>
      </c>
      <c r="I37" s="39" t="n"/>
      <c r="J37" s="39" t="n"/>
      <c r="K37" s="39" t="n"/>
      <c r="L37" s="1" t="n"/>
      <c r="M37" s="1" t="n"/>
    </row>
    <row r="38" ht="18" customHeight="1">
      <c r="A38" s="1" t="n"/>
      <c r="B38" s="33" t="n"/>
      <c r="C38" s="33" t="n"/>
      <c r="D38" s="33" t="n"/>
      <c r="E38" s="33" t="n"/>
      <c r="F38" s="42" t="n"/>
      <c r="G38" s="42" t="n"/>
      <c r="H38" s="42">
        <f>IF(F38&lt;&gt;"",F38-G38,"")</f>
        <v/>
      </c>
      <c r="I38" s="33" t="n"/>
      <c r="J38" s="33" t="n"/>
      <c r="K38" s="33" t="n"/>
      <c r="L38" s="1" t="n"/>
      <c r="M38" s="1" t="n"/>
    </row>
    <row r="39" ht="18" customHeight="1">
      <c r="A39" s="1" t="n"/>
      <c r="B39" s="39" t="n"/>
      <c r="C39" s="39" t="n"/>
      <c r="D39" s="39" t="n"/>
      <c r="E39" s="39" t="n"/>
      <c r="F39" s="40" t="n"/>
      <c r="G39" s="40" t="n"/>
      <c r="H39" s="40">
        <f>IF(F39&lt;&gt;"",F39-G39,"")</f>
        <v/>
      </c>
      <c r="I39" s="39" t="n"/>
      <c r="J39" s="39" t="n"/>
      <c r="K39" s="39" t="n"/>
      <c r="L39" s="1" t="n"/>
      <c r="M39" s="1" t="n"/>
    </row>
    <row r="40" ht="18" customHeight="1">
      <c r="A40" s="1" t="n"/>
      <c r="B40" s="33" t="n"/>
      <c r="C40" s="33" t="n"/>
      <c r="D40" s="33" t="n"/>
      <c r="E40" s="33" t="n"/>
      <c r="F40" s="42" t="n"/>
      <c r="G40" s="42" t="n"/>
      <c r="H40" s="42">
        <f>IF(F40&lt;&gt;"",F40-G40,"")</f>
        <v/>
      </c>
      <c r="I40" s="33" t="n"/>
      <c r="J40" s="33" t="n"/>
      <c r="K40" s="33" t="n"/>
      <c r="L40" s="1" t="n"/>
      <c r="M40" s="1" t="n"/>
    </row>
    <row r="41" ht="18" customHeight="1">
      <c r="A41" s="1" t="n"/>
      <c r="B41" s="39" t="n"/>
      <c r="C41" s="39" t="n"/>
      <c r="D41" s="39" t="n"/>
      <c r="E41" s="39" t="n"/>
      <c r="F41" s="40" t="n"/>
      <c r="G41" s="40" t="n"/>
      <c r="H41" s="40">
        <f>IF(F41&lt;&gt;"",F41-G41,"")</f>
        <v/>
      </c>
      <c r="I41" s="39" t="n"/>
      <c r="J41" s="39" t="n"/>
      <c r="K41" s="39" t="n"/>
      <c r="L41" s="1" t="n"/>
      <c r="M41" s="1" t="n"/>
    </row>
    <row r="42" ht="18" customHeight="1">
      <c r="A42" s="1" t="n"/>
      <c r="B42" s="33" t="n"/>
      <c r="C42" s="33" t="n"/>
      <c r="D42" s="33" t="n"/>
      <c r="E42" s="33" t="n"/>
      <c r="F42" s="42" t="n"/>
      <c r="G42" s="42" t="n"/>
      <c r="H42" s="42">
        <f>IF(F42&lt;&gt;"",F42-G42,"")</f>
        <v/>
      </c>
      <c r="I42" s="33" t="n"/>
      <c r="J42" s="33" t="n"/>
      <c r="K42" s="33" t="n"/>
      <c r="L42" s="1" t="n"/>
      <c r="M42" s="1" t="n"/>
    </row>
    <row r="43" ht="18" customHeight="1">
      <c r="A43" s="1" t="n"/>
      <c r="B43" s="39" t="n"/>
      <c r="C43" s="39" t="n"/>
      <c r="D43" s="39" t="n"/>
      <c r="E43" s="39" t="n"/>
      <c r="F43" s="40" t="n"/>
      <c r="G43" s="40" t="n"/>
      <c r="H43" s="40">
        <f>IF(F43&lt;&gt;"",F43-G43,"")</f>
        <v/>
      </c>
      <c r="I43" s="39" t="n"/>
      <c r="J43" s="39" t="n"/>
      <c r="K43" s="39" t="n"/>
      <c r="L43" s="1" t="n"/>
      <c r="M43" s="1" t="n"/>
    </row>
    <row r="44" ht="18" customHeight="1">
      <c r="A44" s="1" t="n"/>
      <c r="B44" s="33" t="n"/>
      <c r="C44" s="33" t="n"/>
      <c r="D44" s="33" t="n"/>
      <c r="E44" s="33" t="n"/>
      <c r="F44" s="42" t="n"/>
      <c r="G44" s="42" t="n"/>
      <c r="H44" s="42">
        <f>IF(F44&lt;&gt;"",F44-G44,"")</f>
        <v/>
      </c>
      <c r="I44" s="33" t="n"/>
      <c r="J44" s="33" t="n"/>
      <c r="K44" s="33" t="n"/>
      <c r="L44" s="1" t="n"/>
      <c r="M44" s="1" t="n"/>
    </row>
    <row r="45" ht="18" customHeight="1">
      <c r="A45" s="1" t="n"/>
      <c r="B45" s="39" t="n"/>
      <c r="C45" s="39" t="n"/>
      <c r="D45" s="39" t="n"/>
      <c r="E45" s="39" t="n"/>
      <c r="F45" s="40" t="n"/>
      <c r="G45" s="40" t="n"/>
      <c r="H45" s="40">
        <f>IF(F45&lt;&gt;"",F45-G45,"")</f>
        <v/>
      </c>
      <c r="I45" s="39" t="n"/>
      <c r="J45" s="39" t="n"/>
      <c r="K45" s="39" t="n"/>
      <c r="L45" s="1" t="n"/>
      <c r="M45" s="1" t="n"/>
    </row>
    <row r="46" ht="18" customHeight="1">
      <c r="A46" s="1" t="n"/>
      <c r="B46" s="33" t="n"/>
      <c r="C46" s="33" t="n"/>
      <c r="D46" s="33" t="n"/>
      <c r="E46" s="33" t="n"/>
      <c r="F46" s="42" t="n"/>
      <c r="G46" s="42" t="n"/>
      <c r="H46" s="42">
        <f>IF(F46&lt;&gt;"",F46-G46,"")</f>
        <v/>
      </c>
      <c r="I46" s="33" t="n"/>
      <c r="J46" s="33" t="n"/>
      <c r="K46" s="33" t="n"/>
      <c r="L46" s="1" t="n"/>
      <c r="M46" s="1" t="n"/>
    </row>
    <row r="47" ht="18" customHeight="1">
      <c r="A47" s="1" t="n"/>
      <c r="B47" s="39" t="n"/>
      <c r="C47" s="39" t="n"/>
      <c r="D47" s="39" t="n"/>
      <c r="E47" s="39" t="n"/>
      <c r="F47" s="40" t="n"/>
      <c r="G47" s="40" t="n"/>
      <c r="H47" s="40">
        <f>IF(F47&lt;&gt;"",F47-G47,"")</f>
        <v/>
      </c>
      <c r="I47" s="39" t="n"/>
      <c r="J47" s="39" t="n"/>
      <c r="K47" s="39" t="n"/>
      <c r="L47" s="1" t="n"/>
      <c r="M47" s="1" t="n"/>
    </row>
    <row r="48" ht="18" customHeight="1">
      <c r="A48" s="1" t="n"/>
      <c r="B48" s="33" t="n"/>
      <c r="C48" s="33" t="n"/>
      <c r="D48" s="33" t="n"/>
      <c r="E48" s="33" t="n"/>
      <c r="F48" s="42" t="n"/>
      <c r="G48" s="42" t="n"/>
      <c r="H48" s="42">
        <f>IF(F48&lt;&gt;"",F48-G48,"")</f>
        <v/>
      </c>
      <c r="I48" s="33" t="n"/>
      <c r="J48" s="33" t="n"/>
      <c r="K48" s="33" t="n"/>
      <c r="L48" s="1" t="n"/>
      <c r="M48" s="1" t="n"/>
    </row>
    <row r="49" ht="18" customHeight="1">
      <c r="A49" s="1" t="n"/>
      <c r="B49" s="39" t="n"/>
      <c r="C49" s="39" t="n"/>
      <c r="D49" s="39" t="n"/>
      <c r="E49" s="39" t="n"/>
      <c r="F49" s="40" t="n"/>
      <c r="G49" s="40" t="n"/>
      <c r="H49" s="40">
        <f>IF(F49&lt;&gt;"",F49-G49,"")</f>
        <v/>
      </c>
      <c r="I49" s="39" t="n"/>
      <c r="J49" s="39" t="n"/>
      <c r="K49" s="39" t="n"/>
      <c r="L49" s="1" t="n"/>
      <c r="M49" s="1" t="n"/>
    </row>
    <row r="50" ht="18" customHeight="1">
      <c r="A50" s="1" t="n"/>
      <c r="B50" s="33" t="n"/>
      <c r="C50" s="33" t="n"/>
      <c r="D50" s="33" t="n"/>
      <c r="E50" s="33" t="n"/>
      <c r="F50" s="42" t="n"/>
      <c r="G50" s="42" t="n"/>
      <c r="H50" s="42">
        <f>IF(F50&lt;&gt;"",F50-G50,"")</f>
        <v/>
      </c>
      <c r="I50" s="33" t="n"/>
      <c r="J50" s="33" t="n"/>
      <c r="K50" s="33" t="n"/>
      <c r="L50" s="1" t="n"/>
      <c r="M50" s="1" t="n"/>
    </row>
    <row r="51" ht="18" customHeight="1">
      <c r="A51" s="1" t="n"/>
      <c r="B51" s="39" t="n"/>
      <c r="C51" s="39" t="n"/>
      <c r="D51" s="39" t="n"/>
      <c r="E51" s="39" t="n"/>
      <c r="F51" s="40" t="n"/>
      <c r="G51" s="40" t="n"/>
      <c r="H51" s="40">
        <f>IF(F51&lt;&gt;"",F51-G51,"")</f>
        <v/>
      </c>
      <c r="I51" s="39" t="n"/>
      <c r="J51" s="39" t="n"/>
      <c r="K51" s="39" t="n"/>
      <c r="L51" s="1" t="n"/>
      <c r="M51" s="1" t="n"/>
    </row>
    <row r="52" ht="18" customHeight="1">
      <c r="A52" s="1" t="n"/>
      <c r="B52" s="33" t="n"/>
      <c r="C52" s="33" t="n"/>
      <c r="D52" s="33" t="n"/>
      <c r="E52" s="33" t="n"/>
      <c r="F52" s="42" t="n"/>
      <c r="G52" s="42" t="n"/>
      <c r="H52" s="42">
        <f>IF(F52&lt;&gt;"",F52-G52,"")</f>
        <v/>
      </c>
      <c r="I52" s="33" t="n"/>
      <c r="J52" s="33" t="n"/>
      <c r="K52" s="33" t="n"/>
      <c r="L52" s="1" t="n"/>
      <c r="M52" s="1" t="n"/>
    </row>
    <row r="53" ht="18" customHeight="1">
      <c r="A53" s="1" t="n"/>
      <c r="B53" s="39" t="n"/>
      <c r="C53" s="39" t="n"/>
      <c r="D53" s="39" t="n"/>
      <c r="E53" s="39" t="n"/>
      <c r="F53" s="40" t="n"/>
      <c r="G53" s="40" t="n"/>
      <c r="H53" s="40">
        <f>IF(F53&lt;&gt;"",F53-G53,"")</f>
        <v/>
      </c>
      <c r="I53" s="39" t="n"/>
      <c r="J53" s="39" t="n"/>
      <c r="K53" s="39" t="n"/>
      <c r="L53" s="1" t="n"/>
      <c r="M53" s="1" t="n"/>
    </row>
    <row r="54" ht="18" customHeight="1">
      <c r="A54" s="1" t="n"/>
      <c r="B54" s="33" t="n"/>
      <c r="C54" s="33" t="n"/>
      <c r="D54" s="33" t="n"/>
      <c r="E54" s="33" t="n"/>
      <c r="F54" s="42" t="n"/>
      <c r="G54" s="42" t="n"/>
      <c r="H54" s="42">
        <f>IF(F54&lt;&gt;"",F54-G54,"")</f>
        <v/>
      </c>
      <c r="I54" s="33" t="n"/>
      <c r="J54" s="33" t="n"/>
      <c r="K54" s="33" t="n"/>
      <c r="L54" s="1" t="n"/>
      <c r="M54" s="1" t="n"/>
    </row>
    <row r="55" ht="18" customHeight="1">
      <c r="A55" s="1" t="n"/>
      <c r="B55" s="39" t="n"/>
      <c r="C55" s="39" t="n"/>
      <c r="D55" s="39" t="n"/>
      <c r="E55" s="39" t="n"/>
      <c r="F55" s="40" t="n"/>
      <c r="G55" s="40" t="n"/>
      <c r="H55" s="40">
        <f>IF(F55&lt;&gt;"",F55-G55,"")</f>
        <v/>
      </c>
      <c r="I55" s="39" t="n"/>
      <c r="J55" s="39" t="n"/>
      <c r="K55" s="39" t="n"/>
      <c r="L55" s="1" t="n"/>
      <c r="M55" s="1" t="n"/>
    </row>
    <row r="56" ht="18" customHeight="1">
      <c r="A56" s="1" t="n"/>
      <c r="B56" s="33" t="n"/>
      <c r="C56" s="33" t="n"/>
      <c r="D56" s="33" t="n"/>
      <c r="E56" s="33" t="n"/>
      <c r="F56" s="42" t="n"/>
      <c r="G56" s="42" t="n"/>
      <c r="H56" s="42">
        <f>IF(F56&lt;&gt;"",F56-G56,"")</f>
        <v/>
      </c>
      <c r="I56" s="33" t="n"/>
      <c r="J56" s="33" t="n"/>
      <c r="K56" s="33" t="n"/>
      <c r="L56" s="1" t="n"/>
      <c r="M56" s="1" t="n"/>
    </row>
    <row r="57" ht="18" customHeight="1">
      <c r="A57" s="1" t="n"/>
      <c r="B57" s="39" t="n"/>
      <c r="C57" s="39" t="n"/>
      <c r="D57" s="39" t="n"/>
      <c r="E57" s="39" t="n"/>
      <c r="F57" s="40" t="n"/>
      <c r="G57" s="40" t="n"/>
      <c r="H57" s="40">
        <f>IF(F57&lt;&gt;"",F57-G57,"")</f>
        <v/>
      </c>
      <c r="I57" s="39" t="n"/>
      <c r="J57" s="39" t="n"/>
      <c r="K57" s="39" t="n"/>
      <c r="L57" s="1" t="n"/>
      <c r="M57" s="1" t="n"/>
    </row>
    <row r="58" ht="18" customHeight="1">
      <c r="A58" s="1" t="n"/>
      <c r="B58" s="33" t="n"/>
      <c r="C58" s="33" t="n"/>
      <c r="D58" s="33" t="n"/>
      <c r="E58" s="33" t="n"/>
      <c r="F58" s="42" t="n"/>
      <c r="G58" s="42" t="n"/>
      <c r="H58" s="42">
        <f>IF(F58&lt;&gt;"",F58-G58,"")</f>
        <v/>
      </c>
      <c r="I58" s="33" t="n"/>
      <c r="J58" s="33" t="n"/>
      <c r="K58" s="33" t="n"/>
      <c r="L58" s="1" t="n"/>
      <c r="M58" s="1" t="n"/>
    </row>
    <row r="59" ht="18" customHeight="1">
      <c r="A59" s="1" t="n"/>
      <c r="B59" s="39" t="n"/>
      <c r="C59" s="39" t="n"/>
      <c r="D59" s="39" t="n"/>
      <c r="E59" s="39" t="n"/>
      <c r="F59" s="40" t="n"/>
      <c r="G59" s="40" t="n"/>
      <c r="H59" s="40">
        <f>IF(F59&lt;&gt;"",F59-G59,"")</f>
        <v/>
      </c>
      <c r="I59" s="39" t="n"/>
      <c r="J59" s="39" t="n"/>
      <c r="K59" s="39" t="n"/>
      <c r="L59" s="1" t="n"/>
      <c r="M59" s="1" t="n"/>
    </row>
    <row r="60" ht="18" customHeight="1">
      <c r="A60" s="1" t="n"/>
      <c r="B60" s="33" t="n"/>
      <c r="C60" s="33" t="n"/>
      <c r="D60" s="33" t="n"/>
      <c r="E60" s="33" t="n"/>
      <c r="F60" s="42" t="n"/>
      <c r="G60" s="42" t="n"/>
      <c r="H60" s="42">
        <f>IF(F60&lt;&gt;"",F60-G60,"")</f>
        <v/>
      </c>
      <c r="I60" s="33" t="n"/>
      <c r="J60" s="33" t="n"/>
      <c r="K60" s="33" t="n"/>
      <c r="L60" s="1" t="n"/>
      <c r="M60" s="1" t="n"/>
    </row>
    <row r="61" ht="18" customHeight="1">
      <c r="A61" s="1" t="n"/>
      <c r="B61" s="39" t="n"/>
      <c r="C61" s="39" t="n"/>
      <c r="D61" s="39" t="n"/>
      <c r="E61" s="39" t="n"/>
      <c r="F61" s="40" t="n"/>
      <c r="G61" s="40" t="n"/>
      <c r="H61" s="40">
        <f>IF(F61&lt;&gt;"",F61-G61,"")</f>
        <v/>
      </c>
      <c r="I61" s="39" t="n"/>
      <c r="J61" s="39" t="n"/>
      <c r="K61" s="39" t="n"/>
      <c r="L61" s="1" t="n"/>
      <c r="M61" s="1" t="n"/>
    </row>
    <row r="62" ht="18" customHeight="1">
      <c r="A62" s="1" t="n"/>
      <c r="B62" s="33" t="n"/>
      <c r="C62" s="33" t="n"/>
      <c r="D62" s="33" t="n"/>
      <c r="E62" s="33" t="n"/>
      <c r="F62" s="42" t="n"/>
      <c r="G62" s="42" t="n"/>
      <c r="H62" s="42">
        <f>IF(F62&lt;&gt;"",F62-G62,"")</f>
        <v/>
      </c>
      <c r="I62" s="33" t="n"/>
      <c r="J62" s="33" t="n"/>
      <c r="K62" s="33" t="n"/>
      <c r="L62" s="1" t="n"/>
      <c r="M62" s="1" t="n"/>
    </row>
    <row r="63" ht="18" customHeight="1">
      <c r="A63" s="1" t="n"/>
      <c r="B63" s="39" t="n"/>
      <c r="C63" s="39" t="n"/>
      <c r="D63" s="39" t="n"/>
      <c r="E63" s="39" t="n"/>
      <c r="F63" s="40" t="n"/>
      <c r="G63" s="40" t="n"/>
      <c r="H63" s="40">
        <f>IF(F63&lt;&gt;"",F63-G63,"")</f>
        <v/>
      </c>
      <c r="I63" s="39" t="n"/>
      <c r="J63" s="39" t="n"/>
      <c r="K63" s="39" t="n"/>
      <c r="L63" s="1" t="n"/>
      <c r="M63" s="1" t="n"/>
    </row>
    <row r="64" ht="18" customHeight="1">
      <c r="A64" s="1" t="n"/>
      <c r="B64" s="33" t="n"/>
      <c r="C64" s="33" t="n"/>
      <c r="D64" s="33" t="n"/>
      <c r="E64" s="33" t="n"/>
      <c r="F64" s="42" t="n"/>
      <c r="G64" s="42" t="n"/>
      <c r="H64" s="42">
        <f>IF(F64&lt;&gt;"",F64-G64,"")</f>
        <v/>
      </c>
      <c r="I64" s="33" t="n"/>
      <c r="J64" s="33" t="n"/>
      <c r="K64" s="33" t="n"/>
      <c r="L64" s="1" t="n"/>
      <c r="M64" s="1" t="n"/>
    </row>
    <row r="65" ht="18" customHeight="1">
      <c r="A65" s="1" t="n"/>
      <c r="B65" s="39" t="n"/>
      <c r="C65" s="39" t="n"/>
      <c r="D65" s="39" t="n"/>
      <c r="E65" s="39" t="n"/>
      <c r="F65" s="40" t="n"/>
      <c r="G65" s="40" t="n"/>
      <c r="H65" s="40">
        <f>IF(F65&lt;&gt;"",F65-G65,"")</f>
        <v/>
      </c>
      <c r="I65" s="39" t="n"/>
      <c r="J65" s="39" t="n"/>
      <c r="K65" s="39" t="n"/>
      <c r="L65" s="1" t="n"/>
      <c r="M65" s="1" t="n"/>
    </row>
    <row r="66" ht="18" customHeight="1">
      <c r="A66" s="1" t="n"/>
      <c r="B66" s="33" t="n"/>
      <c r="C66" s="33" t="n"/>
      <c r="D66" s="33" t="n"/>
      <c r="E66" s="33" t="n"/>
      <c r="F66" s="42" t="n"/>
      <c r="G66" s="42" t="n"/>
      <c r="H66" s="42">
        <f>IF(F66&lt;&gt;"",F66-G66,"")</f>
        <v/>
      </c>
      <c r="I66" s="33" t="n"/>
      <c r="J66" s="33" t="n"/>
      <c r="K66" s="33" t="n"/>
      <c r="L66" s="1" t="n"/>
      <c r="M66" s="1" t="n"/>
    </row>
    <row r="67" ht="18" customHeight="1">
      <c r="A67" s="1" t="n"/>
      <c r="B67" s="39" t="n"/>
      <c r="C67" s="39" t="n"/>
      <c r="D67" s="39" t="n"/>
      <c r="E67" s="39" t="n"/>
      <c r="F67" s="40" t="n"/>
      <c r="G67" s="40" t="n"/>
      <c r="H67" s="40">
        <f>IF(F67&lt;&gt;"",F67-G67,"")</f>
        <v/>
      </c>
      <c r="I67" s="39" t="n"/>
      <c r="J67" s="39" t="n"/>
      <c r="K67" s="39" t="n"/>
      <c r="L67" s="1" t="n"/>
      <c r="M67" s="1" t="n"/>
    </row>
    <row r="68" ht="18" customHeight="1">
      <c r="A68" s="1" t="n"/>
      <c r="B68" s="33" t="n"/>
      <c r="C68" s="33" t="n"/>
      <c r="D68" s="33" t="n"/>
      <c r="E68" s="33" t="n"/>
      <c r="F68" s="42" t="n"/>
      <c r="G68" s="42" t="n"/>
      <c r="H68" s="42">
        <f>IF(F68&lt;&gt;"",F68-G68,"")</f>
        <v/>
      </c>
      <c r="I68" s="33" t="n"/>
      <c r="J68" s="33" t="n"/>
      <c r="K68" s="33" t="n"/>
      <c r="L68" s="1" t="n"/>
      <c r="M68" s="1" t="n"/>
    </row>
    <row r="69" ht="18" customHeight="1">
      <c r="A69" s="1" t="n"/>
      <c r="B69" s="39" t="n"/>
      <c r="C69" s="39" t="n"/>
      <c r="D69" s="39" t="n"/>
      <c r="E69" s="39" t="n"/>
      <c r="F69" s="40" t="n"/>
      <c r="G69" s="40" t="n"/>
      <c r="H69" s="40">
        <f>IF(F69&lt;&gt;"",F69-G69,"")</f>
        <v/>
      </c>
      <c r="I69" s="39" t="n"/>
      <c r="J69" s="39" t="n"/>
      <c r="K69" s="39" t="n"/>
      <c r="L69" s="1" t="n"/>
      <c r="M69" s="1" t="n"/>
    </row>
    <row r="70" ht="18" customHeight="1">
      <c r="A70" s="1" t="n"/>
      <c r="B70" s="33" t="n"/>
      <c r="C70" s="33" t="n"/>
      <c r="D70" s="33" t="n"/>
      <c r="E70" s="33" t="n"/>
      <c r="F70" s="42" t="n"/>
      <c r="G70" s="42" t="n"/>
      <c r="H70" s="42">
        <f>IF(F70&lt;&gt;"",F70-G70,"")</f>
        <v/>
      </c>
      <c r="I70" s="33" t="n"/>
      <c r="J70" s="33" t="n"/>
      <c r="K70" s="33" t="n"/>
      <c r="L70" s="1" t="n"/>
      <c r="M70" s="1" t="n"/>
    </row>
    <row r="71" ht="18" customHeight="1">
      <c r="A71" s="1" t="n"/>
      <c r="B71" s="39" t="n"/>
      <c r="C71" s="39" t="n"/>
      <c r="D71" s="39" t="n"/>
      <c r="E71" s="39" t="n"/>
      <c r="F71" s="40" t="n"/>
      <c r="G71" s="40" t="n"/>
      <c r="H71" s="40">
        <f>IF(F71&lt;&gt;"",F71-G71,"")</f>
        <v/>
      </c>
      <c r="I71" s="39" t="n"/>
      <c r="J71" s="39" t="n"/>
      <c r="K71" s="39" t="n"/>
      <c r="L71" s="1" t="n"/>
      <c r="M71" s="1" t="n"/>
    </row>
    <row r="72" ht="18" customHeight="1">
      <c r="A72" s="1" t="n"/>
      <c r="B72" s="33" t="n"/>
      <c r="C72" s="33" t="n"/>
      <c r="D72" s="33" t="n"/>
      <c r="E72" s="33" t="n"/>
      <c r="F72" s="42" t="n"/>
      <c r="G72" s="42" t="n"/>
      <c r="H72" s="42">
        <f>IF(F72&lt;&gt;"",F72-G72,"")</f>
        <v/>
      </c>
      <c r="I72" s="33" t="n"/>
      <c r="J72" s="33" t="n"/>
      <c r="K72" s="33" t="n"/>
      <c r="L72" s="1" t="n"/>
      <c r="M72" s="1" t="n"/>
    </row>
    <row r="73" ht="18" customHeight="1">
      <c r="A73" s="1" t="n"/>
      <c r="B73" s="39" t="n"/>
      <c r="C73" s="39" t="n"/>
      <c r="D73" s="39" t="n"/>
      <c r="E73" s="39" t="n"/>
      <c r="F73" s="40" t="n"/>
      <c r="G73" s="40" t="n"/>
      <c r="H73" s="40">
        <f>IF(F73&lt;&gt;"",F73-G73,"")</f>
        <v/>
      </c>
      <c r="I73" s="39" t="n"/>
      <c r="J73" s="39" t="n"/>
      <c r="K73" s="39" t="n"/>
      <c r="L73" s="1" t="n"/>
      <c r="M73" s="1" t="n"/>
    </row>
    <row r="74" ht="18" customHeight="1">
      <c r="A74" s="1" t="n"/>
      <c r="B74" s="33" t="n"/>
      <c r="C74" s="33" t="n"/>
      <c r="D74" s="33" t="n"/>
      <c r="E74" s="33" t="n"/>
      <c r="F74" s="42" t="n"/>
      <c r="G74" s="42" t="n"/>
      <c r="H74" s="42">
        <f>IF(F74&lt;&gt;"",F74-G74,"")</f>
        <v/>
      </c>
      <c r="I74" s="33" t="n"/>
      <c r="J74" s="33" t="n"/>
      <c r="K74" s="33" t="n"/>
      <c r="L74" s="1" t="n"/>
      <c r="M74" s="1" t="n"/>
    </row>
    <row r="75" ht="18" customHeight="1">
      <c r="A75" s="1" t="n"/>
      <c r="B75" s="39" t="n"/>
      <c r="C75" s="39" t="n"/>
      <c r="D75" s="39" t="n"/>
      <c r="E75" s="39" t="n"/>
      <c r="F75" s="40" t="n"/>
      <c r="G75" s="40" t="n"/>
      <c r="H75" s="40">
        <f>IF(F75&lt;&gt;"",F75-G75,"")</f>
        <v/>
      </c>
      <c r="I75" s="39" t="n"/>
      <c r="J75" s="39" t="n"/>
      <c r="K75" s="39" t="n"/>
      <c r="L75" s="1" t="n"/>
      <c r="M75" s="1" t="n"/>
    </row>
    <row r="76" ht="18" customHeight="1">
      <c r="A76" s="1" t="n"/>
      <c r="B76" s="33" t="n"/>
      <c r="C76" s="33" t="n"/>
      <c r="D76" s="33" t="n"/>
      <c r="E76" s="33" t="n"/>
      <c r="F76" s="42" t="n"/>
      <c r="G76" s="42" t="n"/>
      <c r="H76" s="42">
        <f>IF(F76&lt;&gt;"",F76-G76,"")</f>
        <v/>
      </c>
      <c r="I76" s="33" t="n"/>
      <c r="J76" s="33" t="n"/>
      <c r="K76" s="33" t="n"/>
      <c r="L76" s="1" t="n"/>
      <c r="M76" s="1" t="n"/>
    </row>
    <row r="77" ht="18" customHeight="1">
      <c r="A77" s="1" t="n"/>
      <c r="B77" s="39" t="n"/>
      <c r="C77" s="39" t="n"/>
      <c r="D77" s="39" t="n"/>
      <c r="E77" s="39" t="n"/>
      <c r="F77" s="40" t="n"/>
      <c r="G77" s="40" t="n"/>
      <c r="H77" s="40">
        <f>IF(F77&lt;&gt;"",F77-G77,"")</f>
        <v/>
      </c>
      <c r="I77" s="39" t="n"/>
      <c r="J77" s="39" t="n"/>
      <c r="K77" s="39" t="n"/>
      <c r="L77" s="1" t="n"/>
      <c r="M77" s="1" t="n"/>
    </row>
    <row r="78" ht="18" customHeight="1">
      <c r="A78" s="1" t="n"/>
      <c r="B78" s="33" t="n"/>
      <c r="C78" s="33" t="n"/>
      <c r="D78" s="33" t="n"/>
      <c r="E78" s="33" t="n"/>
      <c r="F78" s="42" t="n"/>
      <c r="G78" s="42" t="n"/>
      <c r="H78" s="42">
        <f>IF(F78&lt;&gt;"",F78-G78,"")</f>
        <v/>
      </c>
      <c r="I78" s="33" t="n"/>
      <c r="J78" s="33" t="n"/>
      <c r="K78" s="33" t="n"/>
      <c r="L78" s="1" t="n"/>
      <c r="M78" s="1" t="n"/>
    </row>
    <row r="79" ht="18" customHeight="1">
      <c r="A79" s="1" t="n"/>
      <c r="B79" s="39" t="n"/>
      <c r="C79" s="39" t="n"/>
      <c r="D79" s="39" t="n"/>
      <c r="E79" s="39" t="n"/>
      <c r="F79" s="40" t="n"/>
      <c r="G79" s="40" t="n"/>
      <c r="H79" s="40">
        <f>IF(F79&lt;&gt;"",F79-G79,"")</f>
        <v/>
      </c>
      <c r="I79" s="39" t="n"/>
      <c r="J79" s="39" t="n"/>
      <c r="K79" s="39" t="n"/>
      <c r="L79" s="1" t="n"/>
      <c r="M79" s="1" t="n"/>
    </row>
    <row r="80" ht="18" customHeight="1">
      <c r="A80" s="1" t="n"/>
      <c r="B80" s="33" t="n"/>
      <c r="C80" s="33" t="n"/>
      <c r="D80" s="33" t="n"/>
      <c r="E80" s="33" t="n"/>
      <c r="F80" s="42" t="n"/>
      <c r="G80" s="42" t="n"/>
      <c r="H80" s="42">
        <f>IF(F80&lt;&gt;"",F80-G80,"")</f>
        <v/>
      </c>
      <c r="I80" s="33" t="n"/>
      <c r="J80" s="33" t="n"/>
      <c r="K80" s="33" t="n"/>
      <c r="L80" s="1" t="n"/>
      <c r="M80" s="1" t="n"/>
    </row>
    <row r="81" ht="18" customHeight="1">
      <c r="A81" s="1" t="n"/>
      <c r="B81" s="39" t="n"/>
      <c r="C81" s="39" t="n"/>
      <c r="D81" s="39" t="n"/>
      <c r="E81" s="39" t="n"/>
      <c r="F81" s="40" t="n"/>
      <c r="G81" s="40" t="n"/>
      <c r="H81" s="40">
        <f>IF(F81&lt;&gt;"",F81-G81,"")</f>
        <v/>
      </c>
      <c r="I81" s="39" t="n"/>
      <c r="J81" s="39" t="n"/>
      <c r="K81" s="39" t="n"/>
      <c r="L81" s="1" t="n"/>
      <c r="M81" s="1" t="n"/>
    </row>
    <row r="82" ht="18" customHeight="1">
      <c r="A82" s="1" t="n"/>
      <c r="B82" s="33" t="n"/>
      <c r="C82" s="33" t="n"/>
      <c r="D82" s="33" t="n"/>
      <c r="E82" s="33" t="n"/>
      <c r="F82" s="42" t="n"/>
      <c r="G82" s="42" t="n"/>
      <c r="H82" s="42">
        <f>IF(F82&lt;&gt;"",F82-G82,"")</f>
        <v/>
      </c>
      <c r="I82" s="33" t="n"/>
      <c r="J82" s="33" t="n"/>
      <c r="K82" s="33" t="n"/>
      <c r="L82" s="1" t="n"/>
      <c r="M82" s="1" t="n"/>
    </row>
    <row r="83" ht="18" customHeight="1">
      <c r="A83" s="1" t="n"/>
      <c r="B83" s="39" t="n"/>
      <c r="C83" s="39" t="n"/>
      <c r="D83" s="39" t="n"/>
      <c r="E83" s="39" t="n"/>
      <c r="F83" s="40" t="n"/>
      <c r="G83" s="40" t="n"/>
      <c r="H83" s="40">
        <f>IF(F83&lt;&gt;"",F83-G83,"")</f>
        <v/>
      </c>
      <c r="I83" s="39" t="n"/>
      <c r="J83" s="39" t="n"/>
      <c r="K83" s="39" t="n"/>
      <c r="L83" s="1" t="n"/>
      <c r="M83" s="1" t="n"/>
    </row>
    <row r="84" ht="18" customHeight="1">
      <c r="A84" s="1" t="n"/>
      <c r="B84" s="33" t="n"/>
      <c r="C84" s="33" t="n"/>
      <c r="D84" s="33" t="n"/>
      <c r="E84" s="33" t="n"/>
      <c r="F84" s="42" t="n"/>
      <c r="G84" s="42" t="n"/>
      <c r="H84" s="42">
        <f>IF(F84&lt;&gt;"",F84-G84,"")</f>
        <v/>
      </c>
      <c r="I84" s="33" t="n"/>
      <c r="J84" s="33" t="n"/>
      <c r="K84" s="33" t="n"/>
      <c r="L84" s="1" t="n"/>
      <c r="M84" s="1" t="n"/>
    </row>
    <row r="85" ht="18" customHeight="1">
      <c r="A85" s="1" t="n"/>
      <c r="B85" s="39" t="n"/>
      <c r="C85" s="39" t="n"/>
      <c r="D85" s="39" t="n"/>
      <c r="E85" s="39" t="n"/>
      <c r="F85" s="40" t="n"/>
      <c r="G85" s="40" t="n"/>
      <c r="H85" s="40">
        <f>IF(F85&lt;&gt;"",F85-G85,"")</f>
        <v/>
      </c>
      <c r="I85" s="39" t="n"/>
      <c r="J85" s="39" t="n"/>
      <c r="K85" s="39" t="n"/>
      <c r="L85" s="1" t="n"/>
      <c r="M85" s="1" t="n"/>
    </row>
    <row r="86" ht="18" customHeight="1">
      <c r="A86" s="1" t="n"/>
      <c r="B86" s="33" t="n"/>
      <c r="C86" s="33" t="n"/>
      <c r="D86" s="33" t="n"/>
      <c r="E86" s="33" t="n"/>
      <c r="F86" s="42" t="n"/>
      <c r="G86" s="42" t="n"/>
      <c r="H86" s="42">
        <f>IF(F86&lt;&gt;"",F86-G86,"")</f>
        <v/>
      </c>
      <c r="I86" s="33" t="n"/>
      <c r="J86" s="33" t="n"/>
      <c r="K86" s="33" t="n"/>
      <c r="L86" s="1" t="n"/>
      <c r="M86" s="1" t="n"/>
    </row>
    <row r="87" ht="18" customHeight="1">
      <c r="A87" s="1" t="n"/>
      <c r="B87" s="39" t="n"/>
      <c r="C87" s="39" t="n"/>
      <c r="D87" s="39" t="n"/>
      <c r="E87" s="39" t="n"/>
      <c r="F87" s="40" t="n"/>
      <c r="G87" s="40" t="n"/>
      <c r="H87" s="40">
        <f>IF(F87&lt;&gt;"",F87-G87,"")</f>
        <v/>
      </c>
      <c r="I87" s="39" t="n"/>
      <c r="J87" s="39" t="n"/>
      <c r="K87" s="39" t="n"/>
      <c r="L87" s="1" t="n"/>
      <c r="M87" s="1" t="n"/>
    </row>
    <row r="88" ht="18" customHeight="1">
      <c r="A88" s="1" t="n"/>
      <c r="B88" s="33" t="n"/>
      <c r="C88" s="33" t="n"/>
      <c r="D88" s="33" t="n"/>
      <c r="E88" s="33" t="n"/>
      <c r="F88" s="42" t="n"/>
      <c r="G88" s="42" t="n"/>
      <c r="H88" s="42">
        <f>IF(F88&lt;&gt;"",F88-G88,"")</f>
        <v/>
      </c>
      <c r="I88" s="33" t="n"/>
      <c r="J88" s="33" t="n"/>
      <c r="K88" s="33" t="n"/>
      <c r="L88" s="1" t="n"/>
      <c r="M88" s="1" t="n"/>
    </row>
    <row r="89" ht="18" customHeight="1">
      <c r="A89" s="1" t="n"/>
      <c r="B89" s="39" t="n"/>
      <c r="C89" s="39" t="n"/>
      <c r="D89" s="39" t="n"/>
      <c r="E89" s="39" t="n"/>
      <c r="F89" s="40" t="n"/>
      <c r="G89" s="40" t="n"/>
      <c r="H89" s="40">
        <f>IF(F89&lt;&gt;"",F89-G89,"")</f>
        <v/>
      </c>
      <c r="I89" s="39" t="n"/>
      <c r="J89" s="39" t="n"/>
      <c r="K89" s="39" t="n"/>
      <c r="L89" s="1" t="n"/>
      <c r="M89" s="1" t="n"/>
    </row>
    <row r="90" ht="18" customHeight="1">
      <c r="A90" s="1" t="n"/>
      <c r="B90" s="33" t="n"/>
      <c r="C90" s="33" t="n"/>
      <c r="D90" s="33" t="n"/>
      <c r="E90" s="33" t="n"/>
      <c r="F90" s="42" t="n"/>
      <c r="G90" s="42" t="n"/>
      <c r="H90" s="42">
        <f>IF(F90&lt;&gt;"",F90-G90,"")</f>
        <v/>
      </c>
      <c r="I90" s="33" t="n"/>
      <c r="J90" s="33" t="n"/>
      <c r="K90" s="33" t="n"/>
      <c r="L90" s="1" t="n"/>
      <c r="M90" s="1" t="n"/>
    </row>
    <row r="91" ht="18" customHeight="1">
      <c r="A91" s="1" t="n"/>
      <c r="B91" s="39" t="n"/>
      <c r="C91" s="39" t="n"/>
      <c r="D91" s="39" t="n"/>
      <c r="E91" s="39" t="n"/>
      <c r="F91" s="40" t="n"/>
      <c r="G91" s="40" t="n"/>
      <c r="H91" s="40">
        <f>IF(F91&lt;&gt;"",F91-G91,"")</f>
        <v/>
      </c>
      <c r="I91" s="39" t="n"/>
      <c r="J91" s="39" t="n"/>
      <c r="K91" s="39" t="n"/>
      <c r="L91" s="1" t="n"/>
      <c r="M91" s="1" t="n"/>
    </row>
    <row r="92" ht="18" customHeight="1">
      <c r="A92" s="1" t="n"/>
      <c r="B92" s="33" t="n"/>
      <c r="C92" s="33" t="n"/>
      <c r="D92" s="33" t="n"/>
      <c r="E92" s="33" t="n"/>
      <c r="F92" s="42" t="n"/>
      <c r="G92" s="42" t="n"/>
      <c r="H92" s="42">
        <f>IF(F92&lt;&gt;"",F92-G92,"")</f>
        <v/>
      </c>
      <c r="I92" s="33" t="n"/>
      <c r="J92" s="33" t="n"/>
      <c r="K92" s="33" t="n"/>
      <c r="L92" s="1" t="n"/>
      <c r="M92" s="1" t="n"/>
    </row>
    <row r="93" ht="18" customHeight="1">
      <c r="A93" s="1" t="n"/>
      <c r="B93" s="39" t="n"/>
      <c r="C93" s="39" t="n"/>
      <c r="D93" s="39" t="n"/>
      <c r="E93" s="39" t="n"/>
      <c r="F93" s="40" t="n"/>
      <c r="G93" s="40" t="n"/>
      <c r="H93" s="40">
        <f>IF(F93&lt;&gt;"",F93-G93,"")</f>
        <v/>
      </c>
      <c r="I93" s="39" t="n"/>
      <c r="J93" s="39" t="n"/>
      <c r="K93" s="39" t="n"/>
      <c r="L93" s="1" t="n"/>
      <c r="M93" s="1" t="n"/>
    </row>
    <row r="94" ht="18" customHeight="1">
      <c r="A94" s="1" t="n"/>
      <c r="B94" s="33" t="n"/>
      <c r="C94" s="33" t="n"/>
      <c r="D94" s="33" t="n"/>
      <c r="E94" s="33" t="n"/>
      <c r="F94" s="42" t="n"/>
      <c r="G94" s="42" t="n"/>
      <c r="H94" s="42">
        <f>IF(F94&lt;&gt;"",F94-G94,"")</f>
        <v/>
      </c>
      <c r="I94" s="33" t="n"/>
      <c r="J94" s="33" t="n"/>
      <c r="K94" s="33" t="n"/>
      <c r="L94" s="1" t="n"/>
      <c r="M94" s="1" t="n"/>
    </row>
    <row r="95" ht="18" customHeight="1">
      <c r="A95" s="1" t="n"/>
      <c r="B95" s="39" t="n"/>
      <c r="C95" s="39" t="n"/>
      <c r="D95" s="39" t="n"/>
      <c r="E95" s="39" t="n"/>
      <c r="F95" s="40" t="n"/>
      <c r="G95" s="40" t="n"/>
      <c r="H95" s="40">
        <f>IF(F95&lt;&gt;"",F95-G95,"")</f>
        <v/>
      </c>
      <c r="I95" s="39" t="n"/>
      <c r="J95" s="39" t="n"/>
      <c r="K95" s="39" t="n"/>
      <c r="L95" s="1" t="n"/>
      <c r="M95" s="1" t="n"/>
    </row>
    <row r="96" ht="18" customHeight="1">
      <c r="A96" s="1" t="n"/>
      <c r="B96" s="33" t="n"/>
      <c r="C96" s="33" t="n"/>
      <c r="D96" s="33" t="n"/>
      <c r="E96" s="33" t="n"/>
      <c r="F96" s="42" t="n"/>
      <c r="G96" s="42" t="n"/>
      <c r="H96" s="42">
        <f>IF(F96&lt;&gt;"",F96-G96,"")</f>
        <v/>
      </c>
      <c r="I96" s="33" t="n"/>
      <c r="J96" s="33" t="n"/>
      <c r="K96" s="33" t="n"/>
      <c r="L96" s="1" t="n"/>
      <c r="M96" s="1" t="n"/>
    </row>
    <row r="97" ht="18" customHeight="1">
      <c r="A97" s="1" t="n"/>
      <c r="B97" s="39" t="n"/>
      <c r="C97" s="39" t="n"/>
      <c r="D97" s="39" t="n"/>
      <c r="E97" s="39" t="n"/>
      <c r="F97" s="40" t="n"/>
      <c r="G97" s="40" t="n"/>
      <c r="H97" s="40">
        <f>IF(F97&lt;&gt;"",F97-G97,"")</f>
        <v/>
      </c>
      <c r="I97" s="39" t="n"/>
      <c r="J97" s="39" t="n"/>
      <c r="K97" s="39" t="n"/>
      <c r="L97" s="1" t="n"/>
      <c r="M97" s="1" t="n"/>
    </row>
    <row r="98" ht="18" customHeight="1">
      <c r="A98" s="1" t="n"/>
      <c r="B98" s="33" t="n"/>
      <c r="C98" s="33" t="n"/>
      <c r="D98" s="33" t="n"/>
      <c r="E98" s="33" t="n"/>
      <c r="F98" s="42" t="n"/>
      <c r="G98" s="42" t="n"/>
      <c r="H98" s="42">
        <f>IF(F98&lt;&gt;"",F98-G98,"")</f>
        <v/>
      </c>
      <c r="I98" s="33" t="n"/>
      <c r="J98" s="33" t="n"/>
      <c r="K98" s="33" t="n"/>
      <c r="L98" s="1" t="n"/>
      <c r="M98" s="1" t="n"/>
    </row>
    <row r="99" ht="18" customHeight="1">
      <c r="A99" s="1" t="n"/>
      <c r="B99" s="39" t="n"/>
      <c r="C99" s="39" t="n"/>
      <c r="D99" s="39" t="n"/>
      <c r="E99" s="39" t="n"/>
      <c r="F99" s="40" t="n"/>
      <c r="G99" s="40" t="n"/>
      <c r="H99" s="40">
        <f>IF(F99&lt;&gt;"",F99-G99,"")</f>
        <v/>
      </c>
      <c r="I99" s="39" t="n"/>
      <c r="J99" s="39" t="n"/>
      <c r="K99" s="39" t="n"/>
      <c r="L99" s="1" t="n"/>
      <c r="M99" s="1" t="n"/>
    </row>
    <row r="100" ht="18" customHeight="1">
      <c r="A100" s="1" t="n"/>
      <c r="B100" s="33" t="n"/>
      <c r="C100" s="33" t="n"/>
      <c r="D100" s="33" t="n"/>
      <c r="E100" s="33" t="n"/>
      <c r="F100" s="42" t="n"/>
      <c r="G100" s="42" t="n"/>
      <c r="H100" s="42">
        <f>IF(F100&lt;&gt;"",F100-G100,"")</f>
        <v/>
      </c>
      <c r="I100" s="33" t="n"/>
      <c r="J100" s="33" t="n"/>
      <c r="K100" s="33" t="n"/>
      <c r="L100" s="1" t="n"/>
      <c r="M100" s="1" t="n"/>
    </row>
    <row r="101" ht="18" customHeight="1">
      <c r="A101" s="1" t="n"/>
      <c r="B101" s="39" t="n"/>
      <c r="C101" s="39" t="n"/>
      <c r="D101" s="39" t="n"/>
      <c r="E101" s="39" t="n"/>
      <c r="F101" s="40" t="n"/>
      <c r="G101" s="40" t="n"/>
      <c r="H101" s="40">
        <f>IF(F101&lt;&gt;"",F101-G101,"")</f>
        <v/>
      </c>
      <c r="I101" s="39" t="n"/>
      <c r="J101" s="39" t="n"/>
      <c r="K101" s="39" t="n"/>
      <c r="L101" s="1" t="n"/>
      <c r="M101" s="1" t="n"/>
    </row>
    <row r="102" ht="18" customHeight="1">
      <c r="A102" s="1" t="n"/>
      <c r="B102" s="33" t="n"/>
      <c r="C102" s="33" t="n"/>
      <c r="D102" s="33" t="n"/>
      <c r="E102" s="33" t="n"/>
      <c r="F102" s="42" t="n"/>
      <c r="G102" s="42" t="n"/>
      <c r="H102" s="42">
        <f>IF(F102&lt;&gt;"",F102-G102,"")</f>
        <v/>
      </c>
      <c r="I102" s="33" t="n"/>
      <c r="J102" s="33" t="n"/>
      <c r="K102" s="33" t="n"/>
      <c r="L102" s="1" t="n"/>
      <c r="M102" s="1" t="n"/>
    </row>
    <row r="103" ht="18" customHeight="1">
      <c r="A103" s="1" t="n"/>
      <c r="B103" s="39" t="n"/>
      <c r="C103" s="39" t="n"/>
      <c r="D103" s="39" t="n"/>
      <c r="E103" s="39" t="n"/>
      <c r="F103" s="40" t="n"/>
      <c r="G103" s="40" t="n"/>
      <c r="H103" s="40">
        <f>IF(F103&lt;&gt;"",F103-G103,"")</f>
        <v/>
      </c>
      <c r="I103" s="39" t="n"/>
      <c r="J103" s="39" t="n"/>
      <c r="K103" s="39" t="n"/>
      <c r="L103" s="1" t="n"/>
      <c r="M103" s="1" t="n"/>
    </row>
    <row r="104" ht="18" customHeight="1">
      <c r="A104" s="1" t="n"/>
      <c r="B104" s="33" t="n"/>
      <c r="C104" s="33" t="n"/>
      <c r="D104" s="33" t="n"/>
      <c r="E104" s="33" t="n"/>
      <c r="F104" s="42" t="n"/>
      <c r="G104" s="42" t="n"/>
      <c r="H104" s="42">
        <f>IF(F104&lt;&gt;"",F104-G104,"")</f>
        <v/>
      </c>
      <c r="I104" s="33" t="n"/>
      <c r="J104" s="33" t="n"/>
      <c r="K104" s="33" t="n"/>
      <c r="L104" s="1" t="n"/>
      <c r="M104" s="1" t="n"/>
    </row>
    <row r="105" ht="18" customHeight="1">
      <c r="A105" s="1" t="n"/>
      <c r="B105" s="39" t="n"/>
      <c r="C105" s="39" t="n"/>
      <c r="D105" s="39" t="n"/>
      <c r="E105" s="39" t="n"/>
      <c r="F105" s="40" t="n"/>
      <c r="G105" s="40" t="n"/>
      <c r="H105" s="40">
        <f>IF(F105&lt;&gt;"",F105-G105,"")</f>
        <v/>
      </c>
      <c r="I105" s="39" t="n"/>
      <c r="J105" s="39" t="n"/>
      <c r="K105" s="39" t="n"/>
      <c r="L105" s="1" t="n"/>
      <c r="M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</row>
  </sheetData>
  <mergeCells count="9">
    <mergeCell ref="B2:M2"/>
    <mergeCell ref="B3:D3"/>
    <mergeCell ref="K4:M4"/>
    <mergeCell ref="B4:D4"/>
    <mergeCell ref="H4:J4"/>
    <mergeCell ref="E4:G4"/>
    <mergeCell ref="E3:G3"/>
    <mergeCell ref="K3:M3"/>
    <mergeCell ref="H3:J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CC71"/>
    <outlinePr summaryBelow="1" summaryRight="1"/>
    <pageSetUpPr/>
  </sheetPr>
  <dimension ref="A1:M1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4" customWidth="1" min="3" max="3"/>
    <col width="12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2" customWidth="1" min="10" max="10"/>
    <col width="10" customWidth="1" min="11" max="11"/>
    <col width="1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5" customHeight="1">
      <c r="A2" s="1" t="n"/>
      <c r="B2" s="37" t="inlineStr">
        <is>
          <t>🌿  CONTROLE DE CICATRIZAÇÃO E RETORNO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 ht="22" customHeight="1">
      <c r="A4" s="1" t="n"/>
      <c r="B4" s="38" t="inlineStr">
        <is>
          <t>CLIENTE</t>
        </is>
      </c>
      <c r="C4" s="38" t="inlineStr">
        <is>
          <t>TELEFONE</t>
        </is>
      </c>
      <c r="D4" s="38" t="inlineStr">
        <is>
          <t>DATA SESSÃO</t>
        </is>
      </c>
      <c r="E4" s="38" t="inlineStr">
        <is>
          <t>ESTILO</t>
        </is>
      </c>
      <c r="F4" s="38" t="inlineStr">
        <is>
          <t>REGIÃO</t>
        </is>
      </c>
      <c r="G4" s="38" t="inlineStr">
        <is>
          <t>RETORNO (30d)</t>
        </is>
      </c>
      <c r="H4" s="38" t="inlineStr">
        <is>
          <t>CICATRIZAÇÃO</t>
        </is>
      </c>
      <c r="I4" s="38" t="inlineStr">
        <is>
          <t>RETOQUE GRÁTIS?</t>
        </is>
      </c>
      <c r="J4" s="38" t="inlineStr">
        <is>
          <t>DATA RETOQUE</t>
        </is>
      </c>
      <c r="K4" s="38" t="inlineStr">
        <is>
          <t>AVALIAÇÃO</t>
        </is>
      </c>
      <c r="L4" s="38" t="inlineStr">
        <is>
          <t>OBS</t>
        </is>
      </c>
      <c r="M4" s="1" t="n"/>
    </row>
    <row r="5" ht="18" customHeight="1">
      <c r="A5" s="1" t="n"/>
      <c r="B5" s="39" t="n"/>
      <c r="C5" s="39" t="n"/>
      <c r="D5" s="39" t="n"/>
      <c r="E5" s="39" t="n"/>
      <c r="F5" s="39" t="n"/>
      <c r="G5" s="101">
        <f>IF(D5&lt;&gt;"",D5+30,"")</f>
        <v/>
      </c>
      <c r="H5" s="39">
        <f>IF(G5="","",IF(TODAY()&gt;G5+15,"✅ Cicatrizou","⏳ Em processo"))</f>
        <v/>
      </c>
      <c r="I5" s="39" t="n"/>
      <c r="J5" s="39" t="n"/>
      <c r="K5" s="39" t="n"/>
      <c r="L5" s="39" t="n"/>
      <c r="M5" s="1" t="n"/>
    </row>
    <row r="6" ht="18" customHeight="1">
      <c r="A6" s="1" t="n"/>
      <c r="B6" s="33" t="n"/>
      <c r="C6" s="33" t="n"/>
      <c r="D6" s="33" t="n"/>
      <c r="E6" s="33" t="n"/>
      <c r="F6" s="33" t="n"/>
      <c r="G6" s="102">
        <f>IF(D6&lt;&gt;"",D6+30,"")</f>
        <v/>
      </c>
      <c r="H6" s="33">
        <f>IF(G6="","",IF(TODAY()&gt;G6+15,"✅ Cicatrizou","⏳ Em processo"))</f>
        <v/>
      </c>
      <c r="I6" s="33" t="n"/>
      <c r="J6" s="33" t="n"/>
      <c r="K6" s="33" t="n"/>
      <c r="L6" s="33" t="n"/>
      <c r="M6" s="1" t="n"/>
    </row>
    <row r="7" ht="18" customHeight="1">
      <c r="A7" s="1" t="n"/>
      <c r="B7" s="39" t="n"/>
      <c r="C7" s="39" t="n"/>
      <c r="D7" s="39" t="n"/>
      <c r="E7" s="39" t="n"/>
      <c r="F7" s="39" t="n"/>
      <c r="G7" s="101">
        <f>IF(D7&lt;&gt;"",D7+30,"")</f>
        <v/>
      </c>
      <c r="H7" s="39">
        <f>IF(G7="","",IF(TODAY()&gt;G7+15,"✅ Cicatrizou","⏳ Em processo"))</f>
        <v/>
      </c>
      <c r="I7" s="39" t="n"/>
      <c r="J7" s="39" t="n"/>
      <c r="K7" s="39" t="n"/>
      <c r="L7" s="39" t="n"/>
      <c r="M7" s="1" t="n"/>
    </row>
    <row r="8" ht="18" customHeight="1">
      <c r="A8" s="1" t="n"/>
      <c r="B8" s="33" t="n"/>
      <c r="C8" s="33" t="n"/>
      <c r="D8" s="33" t="n"/>
      <c r="E8" s="33" t="n"/>
      <c r="F8" s="33" t="n"/>
      <c r="G8" s="102">
        <f>IF(D8&lt;&gt;"",D8+30,"")</f>
        <v/>
      </c>
      <c r="H8" s="33">
        <f>IF(G8="","",IF(TODAY()&gt;G8+15,"✅ Cicatrizou","⏳ Em processo"))</f>
        <v/>
      </c>
      <c r="I8" s="33" t="n"/>
      <c r="J8" s="33" t="n"/>
      <c r="K8" s="33" t="n"/>
      <c r="L8" s="33" t="n"/>
      <c r="M8" s="1" t="n"/>
    </row>
    <row r="9" ht="18" customHeight="1">
      <c r="A9" s="1" t="n"/>
      <c r="B9" s="39" t="n"/>
      <c r="C9" s="39" t="n"/>
      <c r="D9" s="39" t="n"/>
      <c r="E9" s="39" t="n"/>
      <c r="F9" s="39" t="n"/>
      <c r="G9" s="101">
        <f>IF(D9&lt;&gt;"",D9+30,"")</f>
        <v/>
      </c>
      <c r="H9" s="39">
        <f>IF(G9="","",IF(TODAY()&gt;G9+15,"✅ Cicatrizou","⏳ Em processo"))</f>
        <v/>
      </c>
      <c r="I9" s="39" t="n"/>
      <c r="J9" s="39" t="n"/>
      <c r="K9" s="39" t="n"/>
      <c r="L9" s="39" t="n"/>
      <c r="M9" s="1" t="n"/>
    </row>
    <row r="10" ht="18" customHeight="1">
      <c r="A10" s="1" t="n"/>
      <c r="B10" s="33" t="n"/>
      <c r="C10" s="33" t="n"/>
      <c r="D10" s="33" t="n"/>
      <c r="E10" s="33" t="n"/>
      <c r="F10" s="33" t="n"/>
      <c r="G10" s="102">
        <f>IF(D10&lt;&gt;"",D10+30,"")</f>
        <v/>
      </c>
      <c r="H10" s="33">
        <f>IF(G10="","",IF(TODAY()&gt;G10+15,"✅ Cicatrizou","⏳ Em processo"))</f>
        <v/>
      </c>
      <c r="I10" s="33" t="n"/>
      <c r="J10" s="33" t="n"/>
      <c r="K10" s="33" t="n"/>
      <c r="L10" s="33" t="n"/>
      <c r="M10" s="1" t="n"/>
    </row>
    <row r="11" ht="18" customHeight="1">
      <c r="A11" s="1" t="n"/>
      <c r="B11" s="39" t="n"/>
      <c r="C11" s="39" t="n"/>
      <c r="D11" s="39" t="n"/>
      <c r="E11" s="39" t="n"/>
      <c r="F11" s="39" t="n"/>
      <c r="G11" s="101">
        <f>IF(D11&lt;&gt;"",D11+30,"")</f>
        <v/>
      </c>
      <c r="H11" s="39">
        <f>IF(G11="","",IF(TODAY()&gt;G11+15,"✅ Cicatrizou","⏳ Em processo"))</f>
        <v/>
      </c>
      <c r="I11" s="39" t="n"/>
      <c r="J11" s="39" t="n"/>
      <c r="K11" s="39" t="n"/>
      <c r="L11" s="39" t="n"/>
      <c r="M11" s="1" t="n"/>
    </row>
    <row r="12" ht="18" customHeight="1">
      <c r="A12" s="1" t="n"/>
      <c r="B12" s="33" t="n"/>
      <c r="C12" s="33" t="n"/>
      <c r="D12" s="33" t="n"/>
      <c r="E12" s="33" t="n"/>
      <c r="F12" s="33" t="n"/>
      <c r="G12" s="102">
        <f>IF(D12&lt;&gt;"",D12+30,"")</f>
        <v/>
      </c>
      <c r="H12" s="33">
        <f>IF(G12="","",IF(TODAY()&gt;G12+15,"✅ Cicatrizou","⏳ Em processo"))</f>
        <v/>
      </c>
      <c r="I12" s="33" t="n"/>
      <c r="J12" s="33" t="n"/>
      <c r="K12" s="33" t="n"/>
      <c r="L12" s="33" t="n"/>
      <c r="M12" s="1" t="n"/>
    </row>
    <row r="13" ht="18" customHeight="1">
      <c r="A13" s="1" t="n"/>
      <c r="B13" s="39" t="n"/>
      <c r="C13" s="39" t="n"/>
      <c r="D13" s="39" t="n"/>
      <c r="E13" s="39" t="n"/>
      <c r="F13" s="39" t="n"/>
      <c r="G13" s="101">
        <f>IF(D13&lt;&gt;"",D13+30,"")</f>
        <v/>
      </c>
      <c r="H13" s="39">
        <f>IF(G13="","",IF(TODAY()&gt;G13+15,"✅ Cicatrizou","⏳ Em processo"))</f>
        <v/>
      </c>
      <c r="I13" s="39" t="n"/>
      <c r="J13" s="39" t="n"/>
      <c r="K13" s="39" t="n"/>
      <c r="L13" s="39" t="n"/>
      <c r="M13" s="1" t="n"/>
    </row>
    <row r="14" ht="18" customHeight="1">
      <c r="A14" s="1" t="n"/>
      <c r="B14" s="33" t="n"/>
      <c r="C14" s="33" t="n"/>
      <c r="D14" s="33" t="n"/>
      <c r="E14" s="33" t="n"/>
      <c r="F14" s="33" t="n"/>
      <c r="G14" s="102">
        <f>IF(D14&lt;&gt;"",D14+30,"")</f>
        <v/>
      </c>
      <c r="H14" s="33">
        <f>IF(G14="","",IF(TODAY()&gt;G14+15,"✅ Cicatrizou","⏳ Em processo"))</f>
        <v/>
      </c>
      <c r="I14" s="33" t="n"/>
      <c r="J14" s="33" t="n"/>
      <c r="K14" s="33" t="n"/>
      <c r="L14" s="33" t="n"/>
      <c r="M14" s="1" t="n"/>
    </row>
    <row r="15" ht="18" customHeight="1">
      <c r="A15" s="1" t="n"/>
      <c r="B15" s="39" t="n"/>
      <c r="C15" s="39" t="n"/>
      <c r="D15" s="39" t="n"/>
      <c r="E15" s="39" t="n"/>
      <c r="F15" s="39" t="n"/>
      <c r="G15" s="101">
        <f>IF(D15&lt;&gt;"",D15+30,"")</f>
        <v/>
      </c>
      <c r="H15" s="39">
        <f>IF(G15="","",IF(TODAY()&gt;G15+15,"✅ Cicatrizou","⏳ Em processo"))</f>
        <v/>
      </c>
      <c r="I15" s="39" t="n"/>
      <c r="J15" s="39" t="n"/>
      <c r="K15" s="39" t="n"/>
      <c r="L15" s="39" t="n"/>
      <c r="M15" s="1" t="n"/>
    </row>
    <row r="16" ht="18" customHeight="1">
      <c r="A16" s="1" t="n"/>
      <c r="B16" s="33" t="n"/>
      <c r="C16" s="33" t="n"/>
      <c r="D16" s="33" t="n"/>
      <c r="E16" s="33" t="n"/>
      <c r="F16" s="33" t="n"/>
      <c r="G16" s="102">
        <f>IF(D16&lt;&gt;"",D16+30,"")</f>
        <v/>
      </c>
      <c r="H16" s="33">
        <f>IF(G16="","",IF(TODAY()&gt;G16+15,"✅ Cicatrizou","⏳ Em processo"))</f>
        <v/>
      </c>
      <c r="I16" s="33" t="n"/>
      <c r="J16" s="33" t="n"/>
      <c r="K16" s="33" t="n"/>
      <c r="L16" s="33" t="n"/>
      <c r="M16" s="1" t="n"/>
    </row>
    <row r="17" ht="18" customHeight="1">
      <c r="A17" s="1" t="n"/>
      <c r="B17" s="39" t="n"/>
      <c r="C17" s="39" t="n"/>
      <c r="D17" s="39" t="n"/>
      <c r="E17" s="39" t="n"/>
      <c r="F17" s="39" t="n"/>
      <c r="G17" s="101">
        <f>IF(D17&lt;&gt;"",D17+30,"")</f>
        <v/>
      </c>
      <c r="H17" s="39">
        <f>IF(G17="","",IF(TODAY()&gt;G17+15,"✅ Cicatrizou","⏳ Em processo"))</f>
        <v/>
      </c>
      <c r="I17" s="39" t="n"/>
      <c r="J17" s="39" t="n"/>
      <c r="K17" s="39" t="n"/>
      <c r="L17" s="39" t="n"/>
      <c r="M17" s="1" t="n"/>
    </row>
    <row r="18" ht="18" customHeight="1">
      <c r="A18" s="1" t="n"/>
      <c r="B18" s="33" t="n"/>
      <c r="C18" s="33" t="n"/>
      <c r="D18" s="33" t="n"/>
      <c r="E18" s="33" t="n"/>
      <c r="F18" s="33" t="n"/>
      <c r="G18" s="102">
        <f>IF(D18&lt;&gt;"",D18+30,"")</f>
        <v/>
      </c>
      <c r="H18" s="33">
        <f>IF(G18="","",IF(TODAY()&gt;G18+15,"✅ Cicatrizou","⏳ Em processo"))</f>
        <v/>
      </c>
      <c r="I18" s="33" t="n"/>
      <c r="J18" s="33" t="n"/>
      <c r="K18" s="33" t="n"/>
      <c r="L18" s="33" t="n"/>
      <c r="M18" s="1" t="n"/>
    </row>
    <row r="19" ht="18" customHeight="1">
      <c r="A19" s="1" t="n"/>
      <c r="B19" s="39" t="n"/>
      <c r="C19" s="39" t="n"/>
      <c r="D19" s="39" t="n"/>
      <c r="E19" s="39" t="n"/>
      <c r="F19" s="39" t="n"/>
      <c r="G19" s="101">
        <f>IF(D19&lt;&gt;"",D19+30,"")</f>
        <v/>
      </c>
      <c r="H19" s="39">
        <f>IF(G19="","",IF(TODAY()&gt;G19+15,"✅ Cicatrizou","⏳ Em processo"))</f>
        <v/>
      </c>
      <c r="I19" s="39" t="n"/>
      <c r="J19" s="39" t="n"/>
      <c r="K19" s="39" t="n"/>
      <c r="L19" s="39" t="n"/>
      <c r="M19" s="1" t="n"/>
    </row>
    <row r="20" ht="18" customHeight="1">
      <c r="A20" s="1" t="n"/>
      <c r="B20" s="33" t="n"/>
      <c r="C20" s="33" t="n"/>
      <c r="D20" s="33" t="n"/>
      <c r="E20" s="33" t="n"/>
      <c r="F20" s="33" t="n"/>
      <c r="G20" s="102">
        <f>IF(D20&lt;&gt;"",D20+30,"")</f>
        <v/>
      </c>
      <c r="H20" s="33">
        <f>IF(G20="","",IF(TODAY()&gt;G20+15,"✅ Cicatrizou","⏳ Em processo"))</f>
        <v/>
      </c>
      <c r="I20" s="33" t="n"/>
      <c r="J20" s="33" t="n"/>
      <c r="K20" s="33" t="n"/>
      <c r="L20" s="33" t="n"/>
      <c r="M20" s="1" t="n"/>
    </row>
    <row r="21" ht="18" customHeight="1">
      <c r="A21" s="1" t="n"/>
      <c r="B21" s="39" t="n"/>
      <c r="C21" s="39" t="n"/>
      <c r="D21" s="39" t="n"/>
      <c r="E21" s="39" t="n"/>
      <c r="F21" s="39" t="n"/>
      <c r="G21" s="101">
        <f>IF(D21&lt;&gt;"",D21+30,"")</f>
        <v/>
      </c>
      <c r="H21" s="39">
        <f>IF(G21="","",IF(TODAY()&gt;G21+15,"✅ Cicatrizou","⏳ Em processo"))</f>
        <v/>
      </c>
      <c r="I21" s="39" t="n"/>
      <c r="J21" s="39" t="n"/>
      <c r="K21" s="39" t="n"/>
      <c r="L21" s="39" t="n"/>
      <c r="M21" s="1" t="n"/>
    </row>
    <row r="22" ht="18" customHeight="1">
      <c r="A22" s="1" t="n"/>
      <c r="B22" s="33" t="n"/>
      <c r="C22" s="33" t="n"/>
      <c r="D22" s="33" t="n"/>
      <c r="E22" s="33" t="n"/>
      <c r="F22" s="33" t="n"/>
      <c r="G22" s="102">
        <f>IF(D22&lt;&gt;"",D22+30,"")</f>
        <v/>
      </c>
      <c r="H22" s="33">
        <f>IF(G22="","",IF(TODAY()&gt;G22+15,"✅ Cicatrizou","⏳ Em processo"))</f>
        <v/>
      </c>
      <c r="I22" s="33" t="n"/>
      <c r="J22" s="33" t="n"/>
      <c r="K22" s="33" t="n"/>
      <c r="L22" s="33" t="n"/>
      <c r="M22" s="1" t="n"/>
    </row>
    <row r="23" ht="18" customHeight="1">
      <c r="A23" s="1" t="n"/>
      <c r="B23" s="39" t="n"/>
      <c r="C23" s="39" t="n"/>
      <c r="D23" s="39" t="n"/>
      <c r="E23" s="39" t="n"/>
      <c r="F23" s="39" t="n"/>
      <c r="G23" s="101">
        <f>IF(D23&lt;&gt;"",D23+30,"")</f>
        <v/>
      </c>
      <c r="H23" s="39">
        <f>IF(G23="","",IF(TODAY()&gt;G23+15,"✅ Cicatrizou","⏳ Em processo"))</f>
        <v/>
      </c>
      <c r="I23" s="39" t="n"/>
      <c r="J23" s="39" t="n"/>
      <c r="K23" s="39" t="n"/>
      <c r="L23" s="39" t="n"/>
      <c r="M23" s="1" t="n"/>
    </row>
    <row r="24" ht="18" customHeight="1">
      <c r="A24" s="1" t="n"/>
      <c r="B24" s="33" t="n"/>
      <c r="C24" s="33" t="n"/>
      <c r="D24" s="33" t="n"/>
      <c r="E24" s="33" t="n"/>
      <c r="F24" s="33" t="n"/>
      <c r="G24" s="102">
        <f>IF(D24&lt;&gt;"",D24+30,"")</f>
        <v/>
      </c>
      <c r="H24" s="33">
        <f>IF(G24="","",IF(TODAY()&gt;G24+15,"✅ Cicatrizou","⏳ Em processo"))</f>
        <v/>
      </c>
      <c r="I24" s="33" t="n"/>
      <c r="J24" s="33" t="n"/>
      <c r="K24" s="33" t="n"/>
      <c r="L24" s="33" t="n"/>
      <c r="M24" s="1" t="n"/>
    </row>
    <row r="25" ht="18" customHeight="1">
      <c r="A25" s="1" t="n"/>
      <c r="B25" s="39" t="n"/>
      <c r="C25" s="39" t="n"/>
      <c r="D25" s="39" t="n"/>
      <c r="E25" s="39" t="n"/>
      <c r="F25" s="39" t="n"/>
      <c r="G25" s="101">
        <f>IF(D25&lt;&gt;"",D25+30,"")</f>
        <v/>
      </c>
      <c r="H25" s="39">
        <f>IF(G25="","",IF(TODAY()&gt;G25+15,"✅ Cicatrizou","⏳ Em processo"))</f>
        <v/>
      </c>
      <c r="I25" s="39" t="n"/>
      <c r="J25" s="39" t="n"/>
      <c r="K25" s="39" t="n"/>
      <c r="L25" s="39" t="n"/>
      <c r="M25" s="1" t="n"/>
    </row>
    <row r="26" ht="18" customHeight="1">
      <c r="A26" s="1" t="n"/>
      <c r="B26" s="33" t="n"/>
      <c r="C26" s="33" t="n"/>
      <c r="D26" s="33" t="n"/>
      <c r="E26" s="33" t="n"/>
      <c r="F26" s="33" t="n"/>
      <c r="G26" s="102">
        <f>IF(D26&lt;&gt;"",D26+30,"")</f>
        <v/>
      </c>
      <c r="H26" s="33">
        <f>IF(G26="","",IF(TODAY()&gt;G26+15,"✅ Cicatrizou","⏳ Em processo"))</f>
        <v/>
      </c>
      <c r="I26" s="33" t="n"/>
      <c r="J26" s="33" t="n"/>
      <c r="K26" s="33" t="n"/>
      <c r="L26" s="33" t="n"/>
      <c r="M26" s="1" t="n"/>
    </row>
    <row r="27" ht="18" customHeight="1">
      <c r="A27" s="1" t="n"/>
      <c r="B27" s="39" t="n"/>
      <c r="C27" s="39" t="n"/>
      <c r="D27" s="39" t="n"/>
      <c r="E27" s="39" t="n"/>
      <c r="F27" s="39" t="n"/>
      <c r="G27" s="101">
        <f>IF(D27&lt;&gt;"",D27+30,"")</f>
        <v/>
      </c>
      <c r="H27" s="39">
        <f>IF(G27="","",IF(TODAY()&gt;G27+15,"✅ Cicatrizou","⏳ Em processo"))</f>
        <v/>
      </c>
      <c r="I27" s="39" t="n"/>
      <c r="J27" s="39" t="n"/>
      <c r="K27" s="39" t="n"/>
      <c r="L27" s="39" t="n"/>
      <c r="M27" s="1" t="n"/>
    </row>
    <row r="28" ht="18" customHeight="1">
      <c r="A28" s="1" t="n"/>
      <c r="B28" s="33" t="n"/>
      <c r="C28" s="33" t="n"/>
      <c r="D28" s="33" t="n"/>
      <c r="E28" s="33" t="n"/>
      <c r="F28" s="33" t="n"/>
      <c r="G28" s="102">
        <f>IF(D28&lt;&gt;"",D28+30,"")</f>
        <v/>
      </c>
      <c r="H28" s="33">
        <f>IF(G28="","",IF(TODAY()&gt;G28+15,"✅ Cicatrizou","⏳ Em processo"))</f>
        <v/>
      </c>
      <c r="I28" s="33" t="n"/>
      <c r="J28" s="33" t="n"/>
      <c r="K28" s="33" t="n"/>
      <c r="L28" s="33" t="n"/>
      <c r="M28" s="1" t="n"/>
    </row>
    <row r="29" ht="18" customHeight="1">
      <c r="A29" s="1" t="n"/>
      <c r="B29" s="39" t="n"/>
      <c r="C29" s="39" t="n"/>
      <c r="D29" s="39" t="n"/>
      <c r="E29" s="39" t="n"/>
      <c r="F29" s="39" t="n"/>
      <c r="G29" s="101">
        <f>IF(D29&lt;&gt;"",D29+30,"")</f>
        <v/>
      </c>
      <c r="H29" s="39">
        <f>IF(G29="","",IF(TODAY()&gt;G29+15,"✅ Cicatrizou","⏳ Em processo"))</f>
        <v/>
      </c>
      <c r="I29" s="39" t="n"/>
      <c r="J29" s="39" t="n"/>
      <c r="K29" s="39" t="n"/>
      <c r="L29" s="39" t="n"/>
      <c r="M29" s="1" t="n"/>
    </row>
    <row r="30" ht="18" customHeight="1">
      <c r="A30" s="1" t="n"/>
      <c r="B30" s="33" t="n"/>
      <c r="C30" s="33" t="n"/>
      <c r="D30" s="33" t="n"/>
      <c r="E30" s="33" t="n"/>
      <c r="F30" s="33" t="n"/>
      <c r="G30" s="102">
        <f>IF(D30&lt;&gt;"",D30+30,"")</f>
        <v/>
      </c>
      <c r="H30" s="33">
        <f>IF(G30="","",IF(TODAY()&gt;G30+15,"✅ Cicatrizou","⏳ Em processo"))</f>
        <v/>
      </c>
      <c r="I30" s="33" t="n"/>
      <c r="J30" s="33" t="n"/>
      <c r="K30" s="33" t="n"/>
      <c r="L30" s="33" t="n"/>
      <c r="M30" s="1" t="n"/>
    </row>
    <row r="31" ht="18" customHeight="1">
      <c r="A31" s="1" t="n"/>
      <c r="B31" s="39" t="n"/>
      <c r="C31" s="39" t="n"/>
      <c r="D31" s="39" t="n"/>
      <c r="E31" s="39" t="n"/>
      <c r="F31" s="39" t="n"/>
      <c r="G31" s="101">
        <f>IF(D31&lt;&gt;"",D31+30,"")</f>
        <v/>
      </c>
      <c r="H31" s="39">
        <f>IF(G31="","",IF(TODAY()&gt;G31+15,"✅ Cicatrizou","⏳ Em processo"))</f>
        <v/>
      </c>
      <c r="I31" s="39" t="n"/>
      <c r="J31" s="39" t="n"/>
      <c r="K31" s="39" t="n"/>
      <c r="L31" s="39" t="n"/>
      <c r="M31" s="1" t="n"/>
    </row>
    <row r="32" ht="18" customHeight="1">
      <c r="A32" s="1" t="n"/>
      <c r="B32" s="33" t="n"/>
      <c r="C32" s="33" t="n"/>
      <c r="D32" s="33" t="n"/>
      <c r="E32" s="33" t="n"/>
      <c r="F32" s="33" t="n"/>
      <c r="G32" s="102">
        <f>IF(D32&lt;&gt;"",D32+30,"")</f>
        <v/>
      </c>
      <c r="H32" s="33">
        <f>IF(G32="","",IF(TODAY()&gt;G32+15,"✅ Cicatrizou","⏳ Em processo"))</f>
        <v/>
      </c>
      <c r="I32" s="33" t="n"/>
      <c r="J32" s="33" t="n"/>
      <c r="K32" s="33" t="n"/>
      <c r="L32" s="33" t="n"/>
      <c r="M32" s="1" t="n"/>
    </row>
    <row r="33" ht="18" customHeight="1">
      <c r="A33" s="1" t="n"/>
      <c r="B33" s="39" t="n"/>
      <c r="C33" s="39" t="n"/>
      <c r="D33" s="39" t="n"/>
      <c r="E33" s="39" t="n"/>
      <c r="F33" s="39" t="n"/>
      <c r="G33" s="101">
        <f>IF(D33&lt;&gt;"",D33+30,"")</f>
        <v/>
      </c>
      <c r="H33" s="39">
        <f>IF(G33="","",IF(TODAY()&gt;G33+15,"✅ Cicatrizou","⏳ Em processo"))</f>
        <v/>
      </c>
      <c r="I33" s="39" t="n"/>
      <c r="J33" s="39" t="n"/>
      <c r="K33" s="39" t="n"/>
      <c r="L33" s="39" t="n"/>
      <c r="M33" s="1" t="n"/>
    </row>
    <row r="34" ht="18" customHeight="1">
      <c r="A34" s="1" t="n"/>
      <c r="B34" s="33" t="n"/>
      <c r="C34" s="33" t="n"/>
      <c r="D34" s="33" t="n"/>
      <c r="E34" s="33" t="n"/>
      <c r="F34" s="33" t="n"/>
      <c r="G34" s="102">
        <f>IF(D34&lt;&gt;"",D34+30,"")</f>
        <v/>
      </c>
      <c r="H34" s="33">
        <f>IF(G34="","",IF(TODAY()&gt;G34+15,"✅ Cicatrizou","⏳ Em processo"))</f>
        <v/>
      </c>
      <c r="I34" s="33" t="n"/>
      <c r="J34" s="33" t="n"/>
      <c r="K34" s="33" t="n"/>
      <c r="L34" s="33" t="n"/>
      <c r="M34" s="1" t="n"/>
    </row>
    <row r="35" ht="18" customHeight="1">
      <c r="A35" s="1" t="n"/>
      <c r="B35" s="39" t="n"/>
      <c r="C35" s="39" t="n"/>
      <c r="D35" s="39" t="n"/>
      <c r="E35" s="39" t="n"/>
      <c r="F35" s="39" t="n"/>
      <c r="G35" s="101">
        <f>IF(D35&lt;&gt;"",D35+30,"")</f>
        <v/>
      </c>
      <c r="H35" s="39">
        <f>IF(G35="","",IF(TODAY()&gt;G35+15,"✅ Cicatrizou","⏳ Em processo"))</f>
        <v/>
      </c>
      <c r="I35" s="39" t="n"/>
      <c r="J35" s="39" t="n"/>
      <c r="K35" s="39" t="n"/>
      <c r="L35" s="39" t="n"/>
      <c r="M35" s="1" t="n"/>
    </row>
    <row r="36" ht="18" customHeight="1">
      <c r="A36" s="1" t="n"/>
      <c r="B36" s="33" t="n"/>
      <c r="C36" s="33" t="n"/>
      <c r="D36" s="33" t="n"/>
      <c r="E36" s="33" t="n"/>
      <c r="F36" s="33" t="n"/>
      <c r="G36" s="102">
        <f>IF(D36&lt;&gt;"",D36+30,"")</f>
        <v/>
      </c>
      <c r="H36" s="33">
        <f>IF(G36="","",IF(TODAY()&gt;G36+15,"✅ Cicatrizou","⏳ Em processo"))</f>
        <v/>
      </c>
      <c r="I36" s="33" t="n"/>
      <c r="J36" s="33" t="n"/>
      <c r="K36" s="33" t="n"/>
      <c r="L36" s="33" t="n"/>
      <c r="M36" s="1" t="n"/>
    </row>
    <row r="37" ht="18" customHeight="1">
      <c r="A37" s="1" t="n"/>
      <c r="B37" s="39" t="n"/>
      <c r="C37" s="39" t="n"/>
      <c r="D37" s="39" t="n"/>
      <c r="E37" s="39" t="n"/>
      <c r="F37" s="39" t="n"/>
      <c r="G37" s="101">
        <f>IF(D37&lt;&gt;"",D37+30,"")</f>
        <v/>
      </c>
      <c r="H37" s="39">
        <f>IF(G37="","",IF(TODAY()&gt;G37+15,"✅ Cicatrizou","⏳ Em processo"))</f>
        <v/>
      </c>
      <c r="I37" s="39" t="n"/>
      <c r="J37" s="39" t="n"/>
      <c r="K37" s="39" t="n"/>
      <c r="L37" s="39" t="n"/>
      <c r="M37" s="1" t="n"/>
    </row>
    <row r="38" ht="18" customHeight="1">
      <c r="A38" s="1" t="n"/>
      <c r="B38" s="33" t="n"/>
      <c r="C38" s="33" t="n"/>
      <c r="D38" s="33" t="n"/>
      <c r="E38" s="33" t="n"/>
      <c r="F38" s="33" t="n"/>
      <c r="G38" s="102">
        <f>IF(D38&lt;&gt;"",D38+30,"")</f>
        <v/>
      </c>
      <c r="H38" s="33">
        <f>IF(G38="","",IF(TODAY()&gt;G38+15,"✅ Cicatrizou","⏳ Em processo"))</f>
        <v/>
      </c>
      <c r="I38" s="33" t="n"/>
      <c r="J38" s="33" t="n"/>
      <c r="K38" s="33" t="n"/>
      <c r="L38" s="33" t="n"/>
      <c r="M38" s="1" t="n"/>
    </row>
    <row r="39" ht="18" customHeight="1">
      <c r="A39" s="1" t="n"/>
      <c r="B39" s="39" t="n"/>
      <c r="C39" s="39" t="n"/>
      <c r="D39" s="39" t="n"/>
      <c r="E39" s="39" t="n"/>
      <c r="F39" s="39" t="n"/>
      <c r="G39" s="101">
        <f>IF(D39&lt;&gt;"",D39+30,"")</f>
        <v/>
      </c>
      <c r="H39" s="39">
        <f>IF(G39="","",IF(TODAY()&gt;G39+15,"✅ Cicatrizou","⏳ Em processo"))</f>
        <v/>
      </c>
      <c r="I39" s="39" t="n"/>
      <c r="J39" s="39" t="n"/>
      <c r="K39" s="39" t="n"/>
      <c r="L39" s="39" t="n"/>
      <c r="M39" s="1" t="n"/>
    </row>
    <row r="40" ht="18" customHeight="1">
      <c r="A40" s="1" t="n"/>
      <c r="B40" s="33" t="n"/>
      <c r="C40" s="33" t="n"/>
      <c r="D40" s="33" t="n"/>
      <c r="E40" s="33" t="n"/>
      <c r="F40" s="33" t="n"/>
      <c r="G40" s="102">
        <f>IF(D40&lt;&gt;"",D40+30,"")</f>
        <v/>
      </c>
      <c r="H40" s="33">
        <f>IF(G40="","",IF(TODAY()&gt;G40+15,"✅ Cicatrizou","⏳ Em processo"))</f>
        <v/>
      </c>
      <c r="I40" s="33" t="n"/>
      <c r="J40" s="33" t="n"/>
      <c r="K40" s="33" t="n"/>
      <c r="L40" s="33" t="n"/>
      <c r="M40" s="1" t="n"/>
    </row>
    <row r="41" ht="18" customHeight="1">
      <c r="A41" s="1" t="n"/>
      <c r="B41" s="39" t="n"/>
      <c r="C41" s="39" t="n"/>
      <c r="D41" s="39" t="n"/>
      <c r="E41" s="39" t="n"/>
      <c r="F41" s="39" t="n"/>
      <c r="G41" s="101">
        <f>IF(D41&lt;&gt;"",D41+30,"")</f>
        <v/>
      </c>
      <c r="H41" s="39">
        <f>IF(G41="","",IF(TODAY()&gt;G41+15,"✅ Cicatrizou","⏳ Em processo"))</f>
        <v/>
      </c>
      <c r="I41" s="39" t="n"/>
      <c r="J41" s="39" t="n"/>
      <c r="K41" s="39" t="n"/>
      <c r="L41" s="39" t="n"/>
      <c r="M41" s="1" t="n"/>
    </row>
    <row r="42" ht="18" customHeight="1">
      <c r="A42" s="1" t="n"/>
      <c r="B42" s="33" t="n"/>
      <c r="C42" s="33" t="n"/>
      <c r="D42" s="33" t="n"/>
      <c r="E42" s="33" t="n"/>
      <c r="F42" s="33" t="n"/>
      <c r="G42" s="102">
        <f>IF(D42&lt;&gt;"",D42+30,"")</f>
        <v/>
      </c>
      <c r="H42" s="33">
        <f>IF(G42="","",IF(TODAY()&gt;G42+15,"✅ Cicatrizou","⏳ Em processo"))</f>
        <v/>
      </c>
      <c r="I42" s="33" t="n"/>
      <c r="J42" s="33" t="n"/>
      <c r="K42" s="33" t="n"/>
      <c r="L42" s="33" t="n"/>
      <c r="M42" s="1" t="n"/>
    </row>
    <row r="43" ht="18" customHeight="1">
      <c r="A43" s="1" t="n"/>
      <c r="B43" s="39" t="n"/>
      <c r="C43" s="39" t="n"/>
      <c r="D43" s="39" t="n"/>
      <c r="E43" s="39" t="n"/>
      <c r="F43" s="39" t="n"/>
      <c r="G43" s="101">
        <f>IF(D43&lt;&gt;"",D43+30,"")</f>
        <v/>
      </c>
      <c r="H43" s="39">
        <f>IF(G43="","",IF(TODAY()&gt;G43+15,"✅ Cicatrizou","⏳ Em processo"))</f>
        <v/>
      </c>
      <c r="I43" s="39" t="n"/>
      <c r="J43" s="39" t="n"/>
      <c r="K43" s="39" t="n"/>
      <c r="L43" s="39" t="n"/>
      <c r="M43" s="1" t="n"/>
    </row>
    <row r="44" ht="18" customHeight="1">
      <c r="A44" s="1" t="n"/>
      <c r="B44" s="33" t="n"/>
      <c r="C44" s="33" t="n"/>
      <c r="D44" s="33" t="n"/>
      <c r="E44" s="33" t="n"/>
      <c r="F44" s="33" t="n"/>
      <c r="G44" s="102">
        <f>IF(D44&lt;&gt;"",D44+30,"")</f>
        <v/>
      </c>
      <c r="H44" s="33">
        <f>IF(G44="","",IF(TODAY()&gt;G44+15,"✅ Cicatrizou","⏳ Em processo"))</f>
        <v/>
      </c>
      <c r="I44" s="33" t="n"/>
      <c r="J44" s="33" t="n"/>
      <c r="K44" s="33" t="n"/>
      <c r="L44" s="33" t="n"/>
      <c r="M44" s="1" t="n"/>
    </row>
    <row r="45" ht="18" customHeight="1">
      <c r="A45" s="1" t="n"/>
      <c r="B45" s="39" t="n"/>
      <c r="C45" s="39" t="n"/>
      <c r="D45" s="39" t="n"/>
      <c r="E45" s="39" t="n"/>
      <c r="F45" s="39" t="n"/>
      <c r="G45" s="101">
        <f>IF(D45&lt;&gt;"",D45+30,"")</f>
        <v/>
      </c>
      <c r="H45" s="39">
        <f>IF(G45="","",IF(TODAY()&gt;G45+15,"✅ Cicatrizou","⏳ Em processo"))</f>
        <v/>
      </c>
      <c r="I45" s="39" t="n"/>
      <c r="J45" s="39" t="n"/>
      <c r="K45" s="39" t="n"/>
      <c r="L45" s="39" t="n"/>
      <c r="M45" s="1" t="n"/>
    </row>
    <row r="46" ht="18" customHeight="1">
      <c r="A46" s="1" t="n"/>
      <c r="B46" s="33" t="n"/>
      <c r="C46" s="33" t="n"/>
      <c r="D46" s="33" t="n"/>
      <c r="E46" s="33" t="n"/>
      <c r="F46" s="33" t="n"/>
      <c r="G46" s="102">
        <f>IF(D46&lt;&gt;"",D46+30,"")</f>
        <v/>
      </c>
      <c r="H46" s="33">
        <f>IF(G46="","",IF(TODAY()&gt;G46+15,"✅ Cicatrizou","⏳ Em processo"))</f>
        <v/>
      </c>
      <c r="I46" s="33" t="n"/>
      <c r="J46" s="33" t="n"/>
      <c r="K46" s="33" t="n"/>
      <c r="L46" s="33" t="n"/>
      <c r="M46" s="1" t="n"/>
    </row>
    <row r="47" ht="18" customHeight="1">
      <c r="A47" s="1" t="n"/>
      <c r="B47" s="39" t="n"/>
      <c r="C47" s="39" t="n"/>
      <c r="D47" s="39" t="n"/>
      <c r="E47" s="39" t="n"/>
      <c r="F47" s="39" t="n"/>
      <c r="G47" s="101">
        <f>IF(D47&lt;&gt;"",D47+30,"")</f>
        <v/>
      </c>
      <c r="H47" s="39">
        <f>IF(G47="","",IF(TODAY()&gt;G47+15,"✅ Cicatrizou","⏳ Em processo"))</f>
        <v/>
      </c>
      <c r="I47" s="39" t="n"/>
      <c r="J47" s="39" t="n"/>
      <c r="K47" s="39" t="n"/>
      <c r="L47" s="39" t="n"/>
      <c r="M47" s="1" t="n"/>
    </row>
    <row r="48" ht="18" customHeight="1">
      <c r="A48" s="1" t="n"/>
      <c r="B48" s="33" t="n"/>
      <c r="C48" s="33" t="n"/>
      <c r="D48" s="33" t="n"/>
      <c r="E48" s="33" t="n"/>
      <c r="F48" s="33" t="n"/>
      <c r="G48" s="102">
        <f>IF(D48&lt;&gt;"",D48+30,"")</f>
        <v/>
      </c>
      <c r="H48" s="33">
        <f>IF(G48="","",IF(TODAY()&gt;G48+15,"✅ Cicatrizou","⏳ Em processo"))</f>
        <v/>
      </c>
      <c r="I48" s="33" t="n"/>
      <c r="J48" s="33" t="n"/>
      <c r="K48" s="33" t="n"/>
      <c r="L48" s="33" t="n"/>
      <c r="M48" s="1" t="n"/>
    </row>
    <row r="49" ht="18" customHeight="1">
      <c r="A49" s="1" t="n"/>
      <c r="B49" s="39" t="n"/>
      <c r="C49" s="39" t="n"/>
      <c r="D49" s="39" t="n"/>
      <c r="E49" s="39" t="n"/>
      <c r="F49" s="39" t="n"/>
      <c r="G49" s="101">
        <f>IF(D49&lt;&gt;"",D49+30,"")</f>
        <v/>
      </c>
      <c r="H49" s="39">
        <f>IF(G49="","",IF(TODAY()&gt;G49+15,"✅ Cicatrizou","⏳ Em processo"))</f>
        <v/>
      </c>
      <c r="I49" s="39" t="n"/>
      <c r="J49" s="39" t="n"/>
      <c r="K49" s="39" t="n"/>
      <c r="L49" s="39" t="n"/>
      <c r="M49" s="1" t="n"/>
    </row>
    <row r="50" ht="18" customHeight="1">
      <c r="A50" s="1" t="n"/>
      <c r="B50" s="33" t="n"/>
      <c r="C50" s="33" t="n"/>
      <c r="D50" s="33" t="n"/>
      <c r="E50" s="33" t="n"/>
      <c r="F50" s="33" t="n"/>
      <c r="G50" s="102">
        <f>IF(D50&lt;&gt;"",D50+30,"")</f>
        <v/>
      </c>
      <c r="H50" s="33">
        <f>IF(G50="","",IF(TODAY()&gt;G50+15,"✅ Cicatrizou","⏳ Em processo"))</f>
        <v/>
      </c>
      <c r="I50" s="33" t="n"/>
      <c r="J50" s="33" t="n"/>
      <c r="K50" s="33" t="n"/>
      <c r="L50" s="33" t="n"/>
      <c r="M50" s="1" t="n"/>
    </row>
    <row r="51" ht="18" customHeight="1">
      <c r="A51" s="1" t="n"/>
      <c r="B51" s="39" t="n"/>
      <c r="C51" s="39" t="n"/>
      <c r="D51" s="39" t="n"/>
      <c r="E51" s="39" t="n"/>
      <c r="F51" s="39" t="n"/>
      <c r="G51" s="101">
        <f>IF(D51&lt;&gt;"",D51+30,"")</f>
        <v/>
      </c>
      <c r="H51" s="39">
        <f>IF(G51="","",IF(TODAY()&gt;G51+15,"✅ Cicatrizou","⏳ Em processo"))</f>
        <v/>
      </c>
      <c r="I51" s="39" t="n"/>
      <c r="J51" s="39" t="n"/>
      <c r="K51" s="39" t="n"/>
      <c r="L51" s="39" t="n"/>
      <c r="M51" s="1" t="n"/>
    </row>
    <row r="52" ht="18" customHeight="1">
      <c r="A52" s="1" t="n"/>
      <c r="B52" s="33" t="n"/>
      <c r="C52" s="33" t="n"/>
      <c r="D52" s="33" t="n"/>
      <c r="E52" s="33" t="n"/>
      <c r="F52" s="33" t="n"/>
      <c r="G52" s="102">
        <f>IF(D52&lt;&gt;"",D52+30,"")</f>
        <v/>
      </c>
      <c r="H52" s="33">
        <f>IF(G52="","",IF(TODAY()&gt;G52+15,"✅ Cicatrizou","⏳ Em processo"))</f>
        <v/>
      </c>
      <c r="I52" s="33" t="n"/>
      <c r="J52" s="33" t="n"/>
      <c r="K52" s="33" t="n"/>
      <c r="L52" s="33" t="n"/>
      <c r="M52" s="1" t="n"/>
    </row>
    <row r="53" ht="18" customHeight="1">
      <c r="A53" s="1" t="n"/>
      <c r="B53" s="39" t="n"/>
      <c r="C53" s="39" t="n"/>
      <c r="D53" s="39" t="n"/>
      <c r="E53" s="39" t="n"/>
      <c r="F53" s="39" t="n"/>
      <c r="G53" s="101">
        <f>IF(D53&lt;&gt;"",D53+30,"")</f>
        <v/>
      </c>
      <c r="H53" s="39">
        <f>IF(G53="","",IF(TODAY()&gt;G53+15,"✅ Cicatrizou","⏳ Em processo"))</f>
        <v/>
      </c>
      <c r="I53" s="39" t="n"/>
      <c r="J53" s="39" t="n"/>
      <c r="K53" s="39" t="n"/>
      <c r="L53" s="39" t="n"/>
      <c r="M53" s="1" t="n"/>
    </row>
    <row r="54" ht="18" customHeight="1">
      <c r="A54" s="1" t="n"/>
      <c r="B54" s="33" t="n"/>
      <c r="C54" s="33" t="n"/>
      <c r="D54" s="33" t="n"/>
      <c r="E54" s="33" t="n"/>
      <c r="F54" s="33" t="n"/>
      <c r="G54" s="102">
        <f>IF(D54&lt;&gt;"",D54+30,"")</f>
        <v/>
      </c>
      <c r="H54" s="33">
        <f>IF(G54="","",IF(TODAY()&gt;G54+15,"✅ Cicatrizou","⏳ Em processo"))</f>
        <v/>
      </c>
      <c r="I54" s="33" t="n"/>
      <c r="J54" s="33" t="n"/>
      <c r="K54" s="33" t="n"/>
      <c r="L54" s="33" t="n"/>
      <c r="M54" s="1" t="n"/>
    </row>
    <row r="55" ht="18" customHeight="1">
      <c r="A55" s="1" t="n"/>
      <c r="B55" s="39" t="n"/>
      <c r="C55" s="39" t="n"/>
      <c r="D55" s="39" t="n"/>
      <c r="E55" s="39" t="n"/>
      <c r="F55" s="39" t="n"/>
      <c r="G55" s="101">
        <f>IF(D55&lt;&gt;"",D55+30,"")</f>
        <v/>
      </c>
      <c r="H55" s="39">
        <f>IF(G55="","",IF(TODAY()&gt;G55+15,"✅ Cicatrizou","⏳ Em processo"))</f>
        <v/>
      </c>
      <c r="I55" s="39" t="n"/>
      <c r="J55" s="39" t="n"/>
      <c r="K55" s="39" t="n"/>
      <c r="L55" s="39" t="n"/>
      <c r="M55" s="1" t="n"/>
    </row>
    <row r="56" ht="18" customHeight="1">
      <c r="A56" s="1" t="n"/>
      <c r="B56" s="33" t="n"/>
      <c r="C56" s="33" t="n"/>
      <c r="D56" s="33" t="n"/>
      <c r="E56" s="33" t="n"/>
      <c r="F56" s="33" t="n"/>
      <c r="G56" s="102">
        <f>IF(D56&lt;&gt;"",D56+30,"")</f>
        <v/>
      </c>
      <c r="H56" s="33">
        <f>IF(G56="","",IF(TODAY()&gt;G56+15,"✅ Cicatrizou","⏳ Em processo"))</f>
        <v/>
      </c>
      <c r="I56" s="33" t="n"/>
      <c r="J56" s="33" t="n"/>
      <c r="K56" s="33" t="n"/>
      <c r="L56" s="33" t="n"/>
      <c r="M56" s="1" t="n"/>
    </row>
    <row r="57" ht="18" customHeight="1">
      <c r="A57" s="1" t="n"/>
      <c r="B57" s="39" t="n"/>
      <c r="C57" s="39" t="n"/>
      <c r="D57" s="39" t="n"/>
      <c r="E57" s="39" t="n"/>
      <c r="F57" s="39" t="n"/>
      <c r="G57" s="101">
        <f>IF(D57&lt;&gt;"",D57+30,"")</f>
        <v/>
      </c>
      <c r="H57" s="39">
        <f>IF(G57="","",IF(TODAY()&gt;G57+15,"✅ Cicatrizou","⏳ Em processo"))</f>
        <v/>
      </c>
      <c r="I57" s="39" t="n"/>
      <c r="J57" s="39" t="n"/>
      <c r="K57" s="39" t="n"/>
      <c r="L57" s="39" t="n"/>
      <c r="M57" s="1" t="n"/>
    </row>
    <row r="58" ht="18" customHeight="1">
      <c r="A58" s="1" t="n"/>
      <c r="B58" s="33" t="n"/>
      <c r="C58" s="33" t="n"/>
      <c r="D58" s="33" t="n"/>
      <c r="E58" s="33" t="n"/>
      <c r="F58" s="33" t="n"/>
      <c r="G58" s="102">
        <f>IF(D58&lt;&gt;"",D58+30,"")</f>
        <v/>
      </c>
      <c r="H58" s="33">
        <f>IF(G58="","",IF(TODAY()&gt;G58+15,"✅ Cicatrizou","⏳ Em processo"))</f>
        <v/>
      </c>
      <c r="I58" s="33" t="n"/>
      <c r="J58" s="33" t="n"/>
      <c r="K58" s="33" t="n"/>
      <c r="L58" s="33" t="n"/>
      <c r="M58" s="1" t="n"/>
    </row>
    <row r="59" ht="18" customHeight="1">
      <c r="A59" s="1" t="n"/>
      <c r="B59" s="39" t="n"/>
      <c r="C59" s="39" t="n"/>
      <c r="D59" s="39" t="n"/>
      <c r="E59" s="39" t="n"/>
      <c r="F59" s="39" t="n"/>
      <c r="G59" s="101">
        <f>IF(D59&lt;&gt;"",D59+30,"")</f>
        <v/>
      </c>
      <c r="H59" s="39">
        <f>IF(G59="","",IF(TODAY()&gt;G59+15,"✅ Cicatrizou","⏳ Em processo"))</f>
        <v/>
      </c>
      <c r="I59" s="39" t="n"/>
      <c r="J59" s="39" t="n"/>
      <c r="K59" s="39" t="n"/>
      <c r="L59" s="39" t="n"/>
      <c r="M59" s="1" t="n"/>
    </row>
    <row r="60" ht="18" customHeight="1">
      <c r="A60" s="1" t="n"/>
      <c r="B60" s="33" t="n"/>
      <c r="C60" s="33" t="n"/>
      <c r="D60" s="33" t="n"/>
      <c r="E60" s="33" t="n"/>
      <c r="F60" s="33" t="n"/>
      <c r="G60" s="102">
        <f>IF(D60&lt;&gt;"",D60+30,"")</f>
        <v/>
      </c>
      <c r="H60" s="33">
        <f>IF(G60="","",IF(TODAY()&gt;G60+15,"✅ Cicatrizou","⏳ Em processo"))</f>
        <v/>
      </c>
      <c r="I60" s="33" t="n"/>
      <c r="J60" s="33" t="n"/>
      <c r="K60" s="33" t="n"/>
      <c r="L60" s="33" t="n"/>
      <c r="M60" s="1" t="n"/>
    </row>
    <row r="61" ht="18" customHeight="1">
      <c r="A61" s="1" t="n"/>
      <c r="B61" s="39" t="n"/>
      <c r="C61" s="39" t="n"/>
      <c r="D61" s="39" t="n"/>
      <c r="E61" s="39" t="n"/>
      <c r="F61" s="39" t="n"/>
      <c r="G61" s="101">
        <f>IF(D61&lt;&gt;"",D61+30,"")</f>
        <v/>
      </c>
      <c r="H61" s="39">
        <f>IF(G61="","",IF(TODAY()&gt;G61+15,"✅ Cicatrizou","⏳ Em processo"))</f>
        <v/>
      </c>
      <c r="I61" s="39" t="n"/>
      <c r="J61" s="39" t="n"/>
      <c r="K61" s="39" t="n"/>
      <c r="L61" s="39" t="n"/>
      <c r="M61" s="1" t="n"/>
    </row>
    <row r="62" ht="18" customHeight="1">
      <c r="A62" s="1" t="n"/>
      <c r="B62" s="33" t="n"/>
      <c r="C62" s="33" t="n"/>
      <c r="D62" s="33" t="n"/>
      <c r="E62" s="33" t="n"/>
      <c r="F62" s="33" t="n"/>
      <c r="G62" s="102">
        <f>IF(D62&lt;&gt;"",D62+30,"")</f>
        <v/>
      </c>
      <c r="H62" s="33">
        <f>IF(G62="","",IF(TODAY()&gt;G62+15,"✅ Cicatrizou","⏳ Em processo"))</f>
        <v/>
      </c>
      <c r="I62" s="33" t="n"/>
      <c r="J62" s="33" t="n"/>
      <c r="K62" s="33" t="n"/>
      <c r="L62" s="33" t="n"/>
      <c r="M62" s="1" t="n"/>
    </row>
    <row r="63" ht="18" customHeight="1">
      <c r="A63" s="1" t="n"/>
      <c r="B63" s="39" t="n"/>
      <c r="C63" s="39" t="n"/>
      <c r="D63" s="39" t="n"/>
      <c r="E63" s="39" t="n"/>
      <c r="F63" s="39" t="n"/>
      <c r="G63" s="101">
        <f>IF(D63&lt;&gt;"",D63+30,"")</f>
        <v/>
      </c>
      <c r="H63" s="39">
        <f>IF(G63="","",IF(TODAY()&gt;G63+15,"✅ Cicatrizou","⏳ Em processo"))</f>
        <v/>
      </c>
      <c r="I63" s="39" t="n"/>
      <c r="J63" s="39" t="n"/>
      <c r="K63" s="39" t="n"/>
      <c r="L63" s="39" t="n"/>
      <c r="M63" s="1" t="n"/>
    </row>
    <row r="64" ht="18" customHeight="1">
      <c r="A64" s="1" t="n"/>
      <c r="B64" s="33" t="n"/>
      <c r="C64" s="33" t="n"/>
      <c r="D64" s="33" t="n"/>
      <c r="E64" s="33" t="n"/>
      <c r="F64" s="33" t="n"/>
      <c r="G64" s="102">
        <f>IF(D64&lt;&gt;"",D64+30,"")</f>
        <v/>
      </c>
      <c r="H64" s="33">
        <f>IF(G64="","",IF(TODAY()&gt;G64+15,"✅ Cicatrizou","⏳ Em processo"))</f>
        <v/>
      </c>
      <c r="I64" s="33" t="n"/>
      <c r="J64" s="33" t="n"/>
      <c r="K64" s="33" t="n"/>
      <c r="L64" s="33" t="n"/>
      <c r="M64" s="1" t="n"/>
    </row>
    <row r="65" ht="18" customHeight="1">
      <c r="A65" s="1" t="n"/>
      <c r="B65" s="39" t="n"/>
      <c r="C65" s="39" t="n"/>
      <c r="D65" s="39" t="n"/>
      <c r="E65" s="39" t="n"/>
      <c r="F65" s="39" t="n"/>
      <c r="G65" s="101">
        <f>IF(D65&lt;&gt;"",D65+30,"")</f>
        <v/>
      </c>
      <c r="H65" s="39">
        <f>IF(G65="","",IF(TODAY()&gt;G65+15,"✅ Cicatrizou","⏳ Em processo"))</f>
        <v/>
      </c>
      <c r="I65" s="39" t="n"/>
      <c r="J65" s="39" t="n"/>
      <c r="K65" s="39" t="n"/>
      <c r="L65" s="39" t="n"/>
      <c r="M65" s="1" t="n"/>
    </row>
    <row r="66" ht="18" customHeight="1">
      <c r="A66" s="1" t="n"/>
      <c r="B66" s="33" t="n"/>
      <c r="C66" s="33" t="n"/>
      <c r="D66" s="33" t="n"/>
      <c r="E66" s="33" t="n"/>
      <c r="F66" s="33" t="n"/>
      <c r="G66" s="102">
        <f>IF(D66&lt;&gt;"",D66+30,"")</f>
        <v/>
      </c>
      <c r="H66" s="33">
        <f>IF(G66="","",IF(TODAY()&gt;G66+15,"✅ Cicatrizou","⏳ Em processo"))</f>
        <v/>
      </c>
      <c r="I66" s="33" t="n"/>
      <c r="J66" s="33" t="n"/>
      <c r="K66" s="33" t="n"/>
      <c r="L66" s="33" t="n"/>
      <c r="M66" s="1" t="n"/>
    </row>
    <row r="67" ht="18" customHeight="1">
      <c r="A67" s="1" t="n"/>
      <c r="B67" s="39" t="n"/>
      <c r="C67" s="39" t="n"/>
      <c r="D67" s="39" t="n"/>
      <c r="E67" s="39" t="n"/>
      <c r="F67" s="39" t="n"/>
      <c r="G67" s="101">
        <f>IF(D67&lt;&gt;"",D67+30,"")</f>
        <v/>
      </c>
      <c r="H67" s="39">
        <f>IF(G67="","",IF(TODAY()&gt;G67+15,"✅ Cicatrizou","⏳ Em processo"))</f>
        <v/>
      </c>
      <c r="I67" s="39" t="n"/>
      <c r="J67" s="39" t="n"/>
      <c r="K67" s="39" t="n"/>
      <c r="L67" s="39" t="n"/>
      <c r="M67" s="1" t="n"/>
    </row>
    <row r="68" ht="18" customHeight="1">
      <c r="A68" s="1" t="n"/>
      <c r="B68" s="33" t="n"/>
      <c r="C68" s="33" t="n"/>
      <c r="D68" s="33" t="n"/>
      <c r="E68" s="33" t="n"/>
      <c r="F68" s="33" t="n"/>
      <c r="G68" s="102">
        <f>IF(D68&lt;&gt;"",D68+30,"")</f>
        <v/>
      </c>
      <c r="H68" s="33">
        <f>IF(G68="","",IF(TODAY()&gt;G68+15,"✅ Cicatrizou","⏳ Em processo"))</f>
        <v/>
      </c>
      <c r="I68" s="33" t="n"/>
      <c r="J68" s="33" t="n"/>
      <c r="K68" s="33" t="n"/>
      <c r="L68" s="33" t="n"/>
      <c r="M68" s="1" t="n"/>
    </row>
    <row r="69" ht="18" customHeight="1">
      <c r="A69" s="1" t="n"/>
      <c r="B69" s="39" t="n"/>
      <c r="C69" s="39" t="n"/>
      <c r="D69" s="39" t="n"/>
      <c r="E69" s="39" t="n"/>
      <c r="F69" s="39" t="n"/>
      <c r="G69" s="101">
        <f>IF(D69&lt;&gt;"",D69+30,"")</f>
        <v/>
      </c>
      <c r="H69" s="39">
        <f>IF(G69="","",IF(TODAY()&gt;G69+15,"✅ Cicatrizou","⏳ Em processo"))</f>
        <v/>
      </c>
      <c r="I69" s="39" t="n"/>
      <c r="J69" s="39" t="n"/>
      <c r="K69" s="39" t="n"/>
      <c r="L69" s="39" t="n"/>
      <c r="M69" s="1" t="n"/>
    </row>
    <row r="70" ht="18" customHeight="1">
      <c r="A70" s="1" t="n"/>
      <c r="B70" s="33" t="n"/>
      <c r="C70" s="33" t="n"/>
      <c r="D70" s="33" t="n"/>
      <c r="E70" s="33" t="n"/>
      <c r="F70" s="33" t="n"/>
      <c r="G70" s="102">
        <f>IF(D70&lt;&gt;"",D70+30,"")</f>
        <v/>
      </c>
      <c r="H70" s="33">
        <f>IF(G70="","",IF(TODAY()&gt;G70+15,"✅ Cicatrizou","⏳ Em processo"))</f>
        <v/>
      </c>
      <c r="I70" s="33" t="n"/>
      <c r="J70" s="33" t="n"/>
      <c r="K70" s="33" t="n"/>
      <c r="L70" s="33" t="n"/>
      <c r="M70" s="1" t="n"/>
    </row>
    <row r="71" ht="18" customHeight="1">
      <c r="A71" s="1" t="n"/>
      <c r="B71" s="39" t="n"/>
      <c r="C71" s="39" t="n"/>
      <c r="D71" s="39" t="n"/>
      <c r="E71" s="39" t="n"/>
      <c r="F71" s="39" t="n"/>
      <c r="G71" s="101">
        <f>IF(D71&lt;&gt;"",D71+30,"")</f>
        <v/>
      </c>
      <c r="H71" s="39">
        <f>IF(G71="","",IF(TODAY()&gt;G71+15,"✅ Cicatrizou","⏳ Em processo"))</f>
        <v/>
      </c>
      <c r="I71" s="39" t="n"/>
      <c r="J71" s="39" t="n"/>
      <c r="K71" s="39" t="n"/>
      <c r="L71" s="39" t="n"/>
      <c r="M71" s="1" t="n"/>
    </row>
    <row r="72" ht="18" customHeight="1">
      <c r="A72" s="1" t="n"/>
      <c r="B72" s="33" t="n"/>
      <c r="C72" s="33" t="n"/>
      <c r="D72" s="33" t="n"/>
      <c r="E72" s="33" t="n"/>
      <c r="F72" s="33" t="n"/>
      <c r="G72" s="102">
        <f>IF(D72&lt;&gt;"",D72+30,"")</f>
        <v/>
      </c>
      <c r="H72" s="33">
        <f>IF(G72="","",IF(TODAY()&gt;G72+15,"✅ Cicatrizou","⏳ Em processo"))</f>
        <v/>
      </c>
      <c r="I72" s="33" t="n"/>
      <c r="J72" s="33" t="n"/>
      <c r="K72" s="33" t="n"/>
      <c r="L72" s="33" t="n"/>
      <c r="M72" s="1" t="n"/>
    </row>
    <row r="73" ht="18" customHeight="1">
      <c r="A73" s="1" t="n"/>
      <c r="B73" s="39" t="n"/>
      <c r="C73" s="39" t="n"/>
      <c r="D73" s="39" t="n"/>
      <c r="E73" s="39" t="n"/>
      <c r="F73" s="39" t="n"/>
      <c r="G73" s="101">
        <f>IF(D73&lt;&gt;"",D73+30,"")</f>
        <v/>
      </c>
      <c r="H73" s="39">
        <f>IF(G73="","",IF(TODAY()&gt;G73+15,"✅ Cicatrizou","⏳ Em processo"))</f>
        <v/>
      </c>
      <c r="I73" s="39" t="n"/>
      <c r="J73" s="39" t="n"/>
      <c r="K73" s="39" t="n"/>
      <c r="L73" s="39" t="n"/>
      <c r="M73" s="1" t="n"/>
    </row>
    <row r="74" ht="18" customHeight="1">
      <c r="A74" s="1" t="n"/>
      <c r="B74" s="33" t="n"/>
      <c r="C74" s="33" t="n"/>
      <c r="D74" s="33" t="n"/>
      <c r="E74" s="33" t="n"/>
      <c r="F74" s="33" t="n"/>
      <c r="G74" s="102">
        <f>IF(D74&lt;&gt;"",D74+30,"")</f>
        <v/>
      </c>
      <c r="H74" s="33">
        <f>IF(G74="","",IF(TODAY()&gt;G74+15,"✅ Cicatrizou","⏳ Em processo"))</f>
        <v/>
      </c>
      <c r="I74" s="33" t="n"/>
      <c r="J74" s="33" t="n"/>
      <c r="K74" s="33" t="n"/>
      <c r="L74" s="33" t="n"/>
      <c r="M74" s="1" t="n"/>
    </row>
    <row r="75" ht="18" customHeight="1">
      <c r="A75" s="1" t="n"/>
      <c r="B75" s="39" t="n"/>
      <c r="C75" s="39" t="n"/>
      <c r="D75" s="39" t="n"/>
      <c r="E75" s="39" t="n"/>
      <c r="F75" s="39" t="n"/>
      <c r="G75" s="101">
        <f>IF(D75&lt;&gt;"",D75+30,"")</f>
        <v/>
      </c>
      <c r="H75" s="39">
        <f>IF(G75="","",IF(TODAY()&gt;G75+15,"✅ Cicatrizou","⏳ Em processo"))</f>
        <v/>
      </c>
      <c r="I75" s="39" t="n"/>
      <c r="J75" s="39" t="n"/>
      <c r="K75" s="39" t="n"/>
      <c r="L75" s="39" t="n"/>
      <c r="M75" s="1" t="n"/>
    </row>
    <row r="76" ht="18" customHeight="1">
      <c r="A76" s="1" t="n"/>
      <c r="B76" s="33" t="n"/>
      <c r="C76" s="33" t="n"/>
      <c r="D76" s="33" t="n"/>
      <c r="E76" s="33" t="n"/>
      <c r="F76" s="33" t="n"/>
      <c r="G76" s="102">
        <f>IF(D76&lt;&gt;"",D76+30,"")</f>
        <v/>
      </c>
      <c r="H76" s="33">
        <f>IF(G76="","",IF(TODAY()&gt;G76+15,"✅ Cicatrizou","⏳ Em processo"))</f>
        <v/>
      </c>
      <c r="I76" s="33" t="n"/>
      <c r="J76" s="33" t="n"/>
      <c r="K76" s="33" t="n"/>
      <c r="L76" s="33" t="n"/>
      <c r="M76" s="1" t="n"/>
    </row>
    <row r="77" ht="18" customHeight="1">
      <c r="A77" s="1" t="n"/>
      <c r="B77" s="39" t="n"/>
      <c r="C77" s="39" t="n"/>
      <c r="D77" s="39" t="n"/>
      <c r="E77" s="39" t="n"/>
      <c r="F77" s="39" t="n"/>
      <c r="G77" s="101">
        <f>IF(D77&lt;&gt;"",D77+30,"")</f>
        <v/>
      </c>
      <c r="H77" s="39">
        <f>IF(G77="","",IF(TODAY()&gt;G77+15,"✅ Cicatrizou","⏳ Em processo"))</f>
        <v/>
      </c>
      <c r="I77" s="39" t="n"/>
      <c r="J77" s="39" t="n"/>
      <c r="K77" s="39" t="n"/>
      <c r="L77" s="39" t="n"/>
      <c r="M77" s="1" t="n"/>
    </row>
    <row r="78" ht="18" customHeight="1">
      <c r="A78" s="1" t="n"/>
      <c r="B78" s="33" t="n"/>
      <c r="C78" s="33" t="n"/>
      <c r="D78" s="33" t="n"/>
      <c r="E78" s="33" t="n"/>
      <c r="F78" s="33" t="n"/>
      <c r="G78" s="102">
        <f>IF(D78&lt;&gt;"",D78+30,"")</f>
        <v/>
      </c>
      <c r="H78" s="33">
        <f>IF(G78="","",IF(TODAY()&gt;G78+15,"✅ Cicatrizou","⏳ Em processo"))</f>
        <v/>
      </c>
      <c r="I78" s="33" t="n"/>
      <c r="J78" s="33" t="n"/>
      <c r="K78" s="33" t="n"/>
      <c r="L78" s="33" t="n"/>
      <c r="M78" s="1" t="n"/>
    </row>
    <row r="79" ht="18" customHeight="1">
      <c r="A79" s="1" t="n"/>
      <c r="B79" s="39" t="n"/>
      <c r="C79" s="39" t="n"/>
      <c r="D79" s="39" t="n"/>
      <c r="E79" s="39" t="n"/>
      <c r="F79" s="39" t="n"/>
      <c r="G79" s="101">
        <f>IF(D79&lt;&gt;"",D79+30,"")</f>
        <v/>
      </c>
      <c r="H79" s="39">
        <f>IF(G79="","",IF(TODAY()&gt;G79+15,"✅ Cicatrizou","⏳ Em processo"))</f>
        <v/>
      </c>
      <c r="I79" s="39" t="n"/>
      <c r="J79" s="39" t="n"/>
      <c r="K79" s="39" t="n"/>
      <c r="L79" s="39" t="n"/>
      <c r="M79" s="1" t="n"/>
    </row>
    <row r="80" ht="18" customHeight="1">
      <c r="A80" s="1" t="n"/>
      <c r="B80" s="33" t="n"/>
      <c r="C80" s="33" t="n"/>
      <c r="D80" s="33" t="n"/>
      <c r="E80" s="33" t="n"/>
      <c r="F80" s="33" t="n"/>
      <c r="G80" s="102">
        <f>IF(D80&lt;&gt;"",D80+30,"")</f>
        <v/>
      </c>
      <c r="H80" s="33">
        <f>IF(G80="","",IF(TODAY()&gt;G80+15,"✅ Cicatrizou","⏳ Em processo"))</f>
        <v/>
      </c>
      <c r="I80" s="33" t="n"/>
      <c r="J80" s="33" t="n"/>
      <c r="K80" s="33" t="n"/>
      <c r="L80" s="33" t="n"/>
      <c r="M80" s="1" t="n"/>
    </row>
    <row r="81" ht="18" customHeight="1">
      <c r="A81" s="1" t="n"/>
      <c r="B81" s="39" t="n"/>
      <c r="C81" s="39" t="n"/>
      <c r="D81" s="39" t="n"/>
      <c r="E81" s="39" t="n"/>
      <c r="F81" s="39" t="n"/>
      <c r="G81" s="101">
        <f>IF(D81&lt;&gt;"",D81+30,"")</f>
        <v/>
      </c>
      <c r="H81" s="39">
        <f>IF(G81="","",IF(TODAY()&gt;G81+15,"✅ Cicatrizou","⏳ Em processo"))</f>
        <v/>
      </c>
      <c r="I81" s="39" t="n"/>
      <c r="J81" s="39" t="n"/>
      <c r="K81" s="39" t="n"/>
      <c r="L81" s="39" t="n"/>
      <c r="M81" s="1" t="n"/>
    </row>
    <row r="82" ht="18" customHeight="1">
      <c r="A82" s="1" t="n"/>
      <c r="B82" s="33" t="n"/>
      <c r="C82" s="33" t="n"/>
      <c r="D82" s="33" t="n"/>
      <c r="E82" s="33" t="n"/>
      <c r="F82" s="33" t="n"/>
      <c r="G82" s="102">
        <f>IF(D82&lt;&gt;"",D82+30,"")</f>
        <v/>
      </c>
      <c r="H82" s="33">
        <f>IF(G82="","",IF(TODAY()&gt;G82+15,"✅ Cicatrizou","⏳ Em processo"))</f>
        <v/>
      </c>
      <c r="I82" s="33" t="n"/>
      <c r="J82" s="33" t="n"/>
      <c r="K82" s="33" t="n"/>
      <c r="L82" s="33" t="n"/>
      <c r="M82" s="1" t="n"/>
    </row>
    <row r="83" ht="18" customHeight="1">
      <c r="A83" s="1" t="n"/>
      <c r="B83" s="39" t="n"/>
      <c r="C83" s="39" t="n"/>
      <c r="D83" s="39" t="n"/>
      <c r="E83" s="39" t="n"/>
      <c r="F83" s="39" t="n"/>
      <c r="G83" s="101">
        <f>IF(D83&lt;&gt;"",D83+30,"")</f>
        <v/>
      </c>
      <c r="H83" s="39">
        <f>IF(G83="","",IF(TODAY()&gt;G83+15,"✅ Cicatrizou","⏳ Em processo"))</f>
        <v/>
      </c>
      <c r="I83" s="39" t="n"/>
      <c r="J83" s="39" t="n"/>
      <c r="K83" s="39" t="n"/>
      <c r="L83" s="39" t="n"/>
      <c r="M83" s="1" t="n"/>
    </row>
    <row r="84" ht="18" customHeight="1">
      <c r="A84" s="1" t="n"/>
      <c r="B84" s="33" t="n"/>
      <c r="C84" s="33" t="n"/>
      <c r="D84" s="33" t="n"/>
      <c r="E84" s="33" t="n"/>
      <c r="F84" s="33" t="n"/>
      <c r="G84" s="102">
        <f>IF(D84&lt;&gt;"",D84+30,"")</f>
        <v/>
      </c>
      <c r="H84" s="33">
        <f>IF(G84="","",IF(TODAY()&gt;G84+15,"✅ Cicatrizou","⏳ Em processo"))</f>
        <v/>
      </c>
      <c r="I84" s="33" t="n"/>
      <c r="J84" s="33" t="n"/>
      <c r="K84" s="33" t="n"/>
      <c r="L84" s="33" t="n"/>
      <c r="M84" s="1" t="n"/>
    </row>
    <row r="85" ht="18" customHeight="1">
      <c r="A85" s="1" t="n"/>
      <c r="B85" s="39" t="n"/>
      <c r="C85" s="39" t="n"/>
      <c r="D85" s="39" t="n"/>
      <c r="E85" s="39" t="n"/>
      <c r="F85" s="39" t="n"/>
      <c r="G85" s="101">
        <f>IF(D85&lt;&gt;"",D85+30,"")</f>
        <v/>
      </c>
      <c r="H85" s="39">
        <f>IF(G85="","",IF(TODAY()&gt;G85+15,"✅ Cicatrizou","⏳ Em processo"))</f>
        <v/>
      </c>
      <c r="I85" s="39" t="n"/>
      <c r="J85" s="39" t="n"/>
      <c r="K85" s="39" t="n"/>
      <c r="L85" s="39" t="n"/>
      <c r="M85" s="1" t="n"/>
    </row>
    <row r="86" ht="18" customHeight="1">
      <c r="A86" s="1" t="n"/>
      <c r="B86" s="33" t="n"/>
      <c r="C86" s="33" t="n"/>
      <c r="D86" s="33" t="n"/>
      <c r="E86" s="33" t="n"/>
      <c r="F86" s="33" t="n"/>
      <c r="G86" s="102">
        <f>IF(D86&lt;&gt;"",D86+30,"")</f>
        <v/>
      </c>
      <c r="H86" s="33">
        <f>IF(G86="","",IF(TODAY()&gt;G86+15,"✅ Cicatrizou","⏳ Em processo"))</f>
        <v/>
      </c>
      <c r="I86" s="33" t="n"/>
      <c r="J86" s="33" t="n"/>
      <c r="K86" s="33" t="n"/>
      <c r="L86" s="33" t="n"/>
      <c r="M86" s="1" t="n"/>
    </row>
    <row r="87" ht="18" customHeight="1">
      <c r="A87" s="1" t="n"/>
      <c r="B87" s="39" t="n"/>
      <c r="C87" s="39" t="n"/>
      <c r="D87" s="39" t="n"/>
      <c r="E87" s="39" t="n"/>
      <c r="F87" s="39" t="n"/>
      <c r="G87" s="101">
        <f>IF(D87&lt;&gt;"",D87+30,"")</f>
        <v/>
      </c>
      <c r="H87" s="39">
        <f>IF(G87="","",IF(TODAY()&gt;G87+15,"✅ Cicatrizou","⏳ Em processo"))</f>
        <v/>
      </c>
      <c r="I87" s="39" t="n"/>
      <c r="J87" s="39" t="n"/>
      <c r="K87" s="39" t="n"/>
      <c r="L87" s="39" t="n"/>
      <c r="M87" s="1" t="n"/>
    </row>
    <row r="88" ht="18" customHeight="1">
      <c r="A88" s="1" t="n"/>
      <c r="B88" s="33" t="n"/>
      <c r="C88" s="33" t="n"/>
      <c r="D88" s="33" t="n"/>
      <c r="E88" s="33" t="n"/>
      <c r="F88" s="33" t="n"/>
      <c r="G88" s="102">
        <f>IF(D88&lt;&gt;"",D88+30,"")</f>
        <v/>
      </c>
      <c r="H88" s="33">
        <f>IF(G88="","",IF(TODAY()&gt;G88+15,"✅ Cicatrizou","⏳ Em processo"))</f>
        <v/>
      </c>
      <c r="I88" s="33" t="n"/>
      <c r="J88" s="33" t="n"/>
      <c r="K88" s="33" t="n"/>
      <c r="L88" s="33" t="n"/>
      <c r="M88" s="1" t="n"/>
    </row>
    <row r="89" ht="18" customHeight="1">
      <c r="A89" s="1" t="n"/>
      <c r="B89" s="39" t="n"/>
      <c r="C89" s="39" t="n"/>
      <c r="D89" s="39" t="n"/>
      <c r="E89" s="39" t="n"/>
      <c r="F89" s="39" t="n"/>
      <c r="G89" s="101">
        <f>IF(D89&lt;&gt;"",D89+30,"")</f>
        <v/>
      </c>
      <c r="H89" s="39">
        <f>IF(G89="","",IF(TODAY()&gt;G89+15,"✅ Cicatrizou","⏳ Em processo"))</f>
        <v/>
      </c>
      <c r="I89" s="39" t="n"/>
      <c r="J89" s="39" t="n"/>
      <c r="K89" s="39" t="n"/>
      <c r="L89" s="39" t="n"/>
      <c r="M89" s="1" t="n"/>
    </row>
    <row r="90" ht="18" customHeight="1">
      <c r="A90" s="1" t="n"/>
      <c r="B90" s="33" t="n"/>
      <c r="C90" s="33" t="n"/>
      <c r="D90" s="33" t="n"/>
      <c r="E90" s="33" t="n"/>
      <c r="F90" s="33" t="n"/>
      <c r="G90" s="102">
        <f>IF(D90&lt;&gt;"",D90+30,"")</f>
        <v/>
      </c>
      <c r="H90" s="33">
        <f>IF(G90="","",IF(TODAY()&gt;G90+15,"✅ Cicatrizou","⏳ Em processo"))</f>
        <v/>
      </c>
      <c r="I90" s="33" t="n"/>
      <c r="J90" s="33" t="n"/>
      <c r="K90" s="33" t="n"/>
      <c r="L90" s="33" t="n"/>
      <c r="M90" s="1" t="n"/>
    </row>
    <row r="91" ht="18" customHeight="1">
      <c r="A91" s="1" t="n"/>
      <c r="B91" s="39" t="n"/>
      <c r="C91" s="39" t="n"/>
      <c r="D91" s="39" t="n"/>
      <c r="E91" s="39" t="n"/>
      <c r="F91" s="39" t="n"/>
      <c r="G91" s="101">
        <f>IF(D91&lt;&gt;"",D91+30,"")</f>
        <v/>
      </c>
      <c r="H91" s="39">
        <f>IF(G91="","",IF(TODAY()&gt;G91+15,"✅ Cicatrizou","⏳ Em processo"))</f>
        <v/>
      </c>
      <c r="I91" s="39" t="n"/>
      <c r="J91" s="39" t="n"/>
      <c r="K91" s="39" t="n"/>
      <c r="L91" s="39" t="n"/>
      <c r="M91" s="1" t="n"/>
    </row>
    <row r="92" ht="18" customHeight="1">
      <c r="A92" s="1" t="n"/>
      <c r="B92" s="33" t="n"/>
      <c r="C92" s="33" t="n"/>
      <c r="D92" s="33" t="n"/>
      <c r="E92" s="33" t="n"/>
      <c r="F92" s="33" t="n"/>
      <c r="G92" s="102">
        <f>IF(D92&lt;&gt;"",D92+30,"")</f>
        <v/>
      </c>
      <c r="H92" s="33">
        <f>IF(G92="","",IF(TODAY()&gt;G92+15,"✅ Cicatrizou","⏳ Em processo"))</f>
        <v/>
      </c>
      <c r="I92" s="33" t="n"/>
      <c r="J92" s="33" t="n"/>
      <c r="K92" s="33" t="n"/>
      <c r="L92" s="33" t="n"/>
      <c r="M92" s="1" t="n"/>
    </row>
    <row r="93" ht="18" customHeight="1">
      <c r="A93" s="1" t="n"/>
      <c r="B93" s="39" t="n"/>
      <c r="C93" s="39" t="n"/>
      <c r="D93" s="39" t="n"/>
      <c r="E93" s="39" t="n"/>
      <c r="F93" s="39" t="n"/>
      <c r="G93" s="101">
        <f>IF(D93&lt;&gt;"",D93+30,"")</f>
        <v/>
      </c>
      <c r="H93" s="39">
        <f>IF(G93="","",IF(TODAY()&gt;G93+15,"✅ Cicatrizou","⏳ Em processo"))</f>
        <v/>
      </c>
      <c r="I93" s="39" t="n"/>
      <c r="J93" s="39" t="n"/>
      <c r="K93" s="39" t="n"/>
      <c r="L93" s="39" t="n"/>
      <c r="M93" s="1" t="n"/>
    </row>
    <row r="94" ht="18" customHeight="1">
      <c r="A94" s="1" t="n"/>
      <c r="B94" s="33" t="n"/>
      <c r="C94" s="33" t="n"/>
      <c r="D94" s="33" t="n"/>
      <c r="E94" s="33" t="n"/>
      <c r="F94" s="33" t="n"/>
      <c r="G94" s="102">
        <f>IF(D94&lt;&gt;"",D94+30,"")</f>
        <v/>
      </c>
      <c r="H94" s="33">
        <f>IF(G94="","",IF(TODAY()&gt;G94+15,"✅ Cicatrizou","⏳ Em processo"))</f>
        <v/>
      </c>
      <c r="I94" s="33" t="n"/>
      <c r="J94" s="33" t="n"/>
      <c r="K94" s="33" t="n"/>
      <c r="L94" s="33" t="n"/>
      <c r="M94" s="1" t="n"/>
    </row>
    <row r="95" ht="18" customHeight="1">
      <c r="A95" s="1" t="n"/>
      <c r="B95" s="39" t="n"/>
      <c r="C95" s="39" t="n"/>
      <c r="D95" s="39" t="n"/>
      <c r="E95" s="39" t="n"/>
      <c r="F95" s="39" t="n"/>
      <c r="G95" s="101">
        <f>IF(D95&lt;&gt;"",D95+30,"")</f>
        <v/>
      </c>
      <c r="H95" s="39">
        <f>IF(G95="","",IF(TODAY()&gt;G95+15,"✅ Cicatrizou","⏳ Em processo"))</f>
        <v/>
      </c>
      <c r="I95" s="39" t="n"/>
      <c r="J95" s="39" t="n"/>
      <c r="K95" s="39" t="n"/>
      <c r="L95" s="39" t="n"/>
      <c r="M95" s="1" t="n"/>
    </row>
    <row r="96" ht="18" customHeight="1">
      <c r="A96" s="1" t="n"/>
      <c r="B96" s="33" t="n"/>
      <c r="C96" s="33" t="n"/>
      <c r="D96" s="33" t="n"/>
      <c r="E96" s="33" t="n"/>
      <c r="F96" s="33" t="n"/>
      <c r="G96" s="102">
        <f>IF(D96&lt;&gt;"",D96+30,"")</f>
        <v/>
      </c>
      <c r="H96" s="33">
        <f>IF(G96="","",IF(TODAY()&gt;G96+15,"✅ Cicatrizou","⏳ Em processo"))</f>
        <v/>
      </c>
      <c r="I96" s="33" t="n"/>
      <c r="J96" s="33" t="n"/>
      <c r="K96" s="33" t="n"/>
      <c r="L96" s="33" t="n"/>
      <c r="M96" s="1" t="n"/>
    </row>
    <row r="97" ht="18" customHeight="1">
      <c r="A97" s="1" t="n"/>
      <c r="B97" s="39" t="n"/>
      <c r="C97" s="39" t="n"/>
      <c r="D97" s="39" t="n"/>
      <c r="E97" s="39" t="n"/>
      <c r="F97" s="39" t="n"/>
      <c r="G97" s="101">
        <f>IF(D97&lt;&gt;"",D97+30,"")</f>
        <v/>
      </c>
      <c r="H97" s="39">
        <f>IF(G97="","",IF(TODAY()&gt;G97+15,"✅ Cicatrizou","⏳ Em processo"))</f>
        <v/>
      </c>
      <c r="I97" s="39" t="n"/>
      <c r="J97" s="39" t="n"/>
      <c r="K97" s="39" t="n"/>
      <c r="L97" s="39" t="n"/>
      <c r="M97" s="1" t="n"/>
    </row>
    <row r="98" ht="18" customHeight="1">
      <c r="A98" s="1" t="n"/>
      <c r="B98" s="33" t="n"/>
      <c r="C98" s="33" t="n"/>
      <c r="D98" s="33" t="n"/>
      <c r="E98" s="33" t="n"/>
      <c r="F98" s="33" t="n"/>
      <c r="G98" s="102">
        <f>IF(D98&lt;&gt;"",D98+30,"")</f>
        <v/>
      </c>
      <c r="H98" s="33">
        <f>IF(G98="","",IF(TODAY()&gt;G98+15,"✅ Cicatrizou","⏳ Em processo"))</f>
        <v/>
      </c>
      <c r="I98" s="33" t="n"/>
      <c r="J98" s="33" t="n"/>
      <c r="K98" s="33" t="n"/>
      <c r="L98" s="33" t="n"/>
      <c r="M98" s="1" t="n"/>
    </row>
    <row r="99" ht="18" customHeight="1">
      <c r="A99" s="1" t="n"/>
      <c r="B99" s="39" t="n"/>
      <c r="C99" s="39" t="n"/>
      <c r="D99" s="39" t="n"/>
      <c r="E99" s="39" t="n"/>
      <c r="F99" s="39" t="n"/>
      <c r="G99" s="101">
        <f>IF(D99&lt;&gt;"",D99+30,"")</f>
        <v/>
      </c>
      <c r="H99" s="39">
        <f>IF(G99="","",IF(TODAY()&gt;G99+15,"✅ Cicatrizou","⏳ Em processo"))</f>
        <v/>
      </c>
      <c r="I99" s="39" t="n"/>
      <c r="J99" s="39" t="n"/>
      <c r="K99" s="39" t="n"/>
      <c r="L99" s="39" t="n"/>
      <c r="M99" s="1" t="n"/>
    </row>
    <row r="100" ht="18" customHeight="1">
      <c r="A100" s="1" t="n"/>
      <c r="B100" s="33" t="n"/>
      <c r="C100" s="33" t="n"/>
      <c r="D100" s="33" t="n"/>
      <c r="E100" s="33" t="n"/>
      <c r="F100" s="33" t="n"/>
      <c r="G100" s="102">
        <f>IF(D100&lt;&gt;"",D100+30,"")</f>
        <v/>
      </c>
      <c r="H100" s="33">
        <f>IF(G100="","",IF(TODAY()&gt;G100+15,"✅ Cicatrizou","⏳ Em processo"))</f>
        <v/>
      </c>
      <c r="I100" s="33" t="n"/>
      <c r="J100" s="33" t="n"/>
      <c r="K100" s="33" t="n"/>
      <c r="L100" s="33" t="n"/>
      <c r="M100" s="1" t="n"/>
    </row>
    <row r="101" ht="18" customHeight="1">
      <c r="A101" s="1" t="n"/>
      <c r="B101" s="39" t="n"/>
      <c r="C101" s="39" t="n"/>
      <c r="D101" s="39" t="n"/>
      <c r="E101" s="39" t="n"/>
      <c r="F101" s="39" t="n"/>
      <c r="G101" s="101">
        <f>IF(D101&lt;&gt;"",D101+30,"")</f>
        <v/>
      </c>
      <c r="H101" s="39">
        <f>IF(G101="","",IF(TODAY()&gt;G101+15,"✅ Cicatrizou","⏳ Em processo"))</f>
        <v/>
      </c>
      <c r="I101" s="39" t="n"/>
      <c r="J101" s="39" t="n"/>
      <c r="K101" s="39" t="n"/>
      <c r="L101" s="39" t="n"/>
      <c r="M101" s="1" t="n"/>
    </row>
    <row r="102" ht="18" customHeight="1">
      <c r="A102" s="1" t="n"/>
      <c r="B102" s="33" t="n"/>
      <c r="C102" s="33" t="n"/>
      <c r="D102" s="33" t="n"/>
      <c r="E102" s="33" t="n"/>
      <c r="F102" s="33" t="n"/>
      <c r="G102" s="102">
        <f>IF(D102&lt;&gt;"",D102+30,"")</f>
        <v/>
      </c>
      <c r="H102" s="33">
        <f>IF(G102="","",IF(TODAY()&gt;G102+15,"✅ Cicatrizou","⏳ Em processo"))</f>
        <v/>
      </c>
      <c r="I102" s="33" t="n"/>
      <c r="J102" s="33" t="n"/>
      <c r="K102" s="33" t="n"/>
      <c r="L102" s="33" t="n"/>
      <c r="M102" s="1" t="n"/>
    </row>
    <row r="103" ht="18" customHeight="1">
      <c r="A103" s="1" t="n"/>
      <c r="B103" s="39" t="n"/>
      <c r="C103" s="39" t="n"/>
      <c r="D103" s="39" t="n"/>
      <c r="E103" s="39" t="n"/>
      <c r="F103" s="39" t="n"/>
      <c r="G103" s="101">
        <f>IF(D103&lt;&gt;"",D103+30,"")</f>
        <v/>
      </c>
      <c r="H103" s="39">
        <f>IF(G103="","",IF(TODAY()&gt;G103+15,"✅ Cicatrizou","⏳ Em processo"))</f>
        <v/>
      </c>
      <c r="I103" s="39" t="n"/>
      <c r="J103" s="39" t="n"/>
      <c r="K103" s="39" t="n"/>
      <c r="L103" s="39" t="n"/>
      <c r="M103" s="1" t="n"/>
    </row>
    <row r="104" ht="18" customHeight="1">
      <c r="A104" s="1" t="n"/>
      <c r="B104" s="33" t="n"/>
      <c r="C104" s="33" t="n"/>
      <c r="D104" s="33" t="n"/>
      <c r="E104" s="33" t="n"/>
      <c r="F104" s="33" t="n"/>
      <c r="G104" s="102">
        <f>IF(D104&lt;&gt;"",D104+30,"")</f>
        <v/>
      </c>
      <c r="H104" s="33">
        <f>IF(G104="","",IF(TODAY()&gt;G104+15,"✅ Cicatrizou","⏳ Em processo"))</f>
        <v/>
      </c>
      <c r="I104" s="33" t="n"/>
      <c r="J104" s="33" t="n"/>
      <c r="K104" s="33" t="n"/>
      <c r="L104" s="33" t="n"/>
      <c r="M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</row>
  </sheetData>
  <mergeCells count="1">
    <mergeCell ref="B2:M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3498DB"/>
    <outlinePr summaryBelow="1" summaryRight="1"/>
    <pageSetUpPr/>
  </sheetPr>
  <dimension ref="A1:M7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20" customWidth="1" min="3" max="3"/>
    <col width="20" customWidth="1" min="4" max="4"/>
    <col width="14" customWidth="1" min="5" max="5"/>
    <col width="12" customWidth="1" min="6" max="6"/>
    <col width="14" customWidth="1" min="7" max="7"/>
    <col width="14" customWidth="1" min="8" max="8"/>
    <col width="12" customWidth="1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5" customHeight="1">
      <c r="A2" s="1" t="n"/>
      <c r="B2" s="37" t="inlineStr">
        <is>
          <t>💼  CONTROLE DE COMISSÕES — CENTRAL TATTOO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 ht="20" customHeight="1">
      <c r="A4" s="1" t="n"/>
      <c r="B4" s="31" t="inlineStr">
        <is>
          <t>⚙️  TABELA DE COMISSÕES POR PROFISSIONAL</t>
        </is>
      </c>
      <c r="M4" s="1" t="n"/>
    </row>
    <row r="5">
      <c r="A5" s="1" t="n"/>
      <c r="B5" s="38" t="inlineStr">
        <is>
          <t>PROFISSIONAL</t>
        </is>
      </c>
      <c r="C5" s="38" t="inlineStr">
        <is>
          <t>FUNÇÃO</t>
        </is>
      </c>
      <c r="D5" s="38" t="inlineStr">
        <is>
          <t>% COMISSÃO</t>
        </is>
      </c>
      <c r="E5" s="1" t="n"/>
      <c r="F5" s="1" t="n"/>
      <c r="G5" s="1" t="n"/>
      <c r="H5" s="1" t="n"/>
      <c r="I5" s="1" t="n"/>
      <c r="J5" s="1" t="n"/>
      <c r="K5" s="1" t="n"/>
      <c r="L5" s="1" t="n"/>
      <c r="M5" s="1" t="n"/>
    </row>
    <row r="6" ht="20" customHeight="1">
      <c r="A6" s="1" t="n"/>
      <c r="B6" s="39" t="inlineStr">
        <is>
          <t>Carlos Henrique</t>
        </is>
      </c>
      <c r="C6" s="39" t="inlineStr">
        <is>
          <t>Tatuador Principal</t>
        </is>
      </c>
      <c r="D6" s="103" t="n">
        <v>0.6</v>
      </c>
      <c r="E6" s="1" t="n"/>
      <c r="F6" s="1" t="n"/>
      <c r="G6" s="1" t="n"/>
      <c r="H6" s="1" t="n"/>
      <c r="I6" s="1" t="n"/>
      <c r="J6" s="1" t="n"/>
      <c r="K6" s="1" t="n"/>
      <c r="L6" s="1" t="n"/>
      <c r="M6" s="1" t="n"/>
    </row>
    <row r="7" ht="20" customHeight="1">
      <c r="A7" s="1" t="n"/>
      <c r="B7" s="39" t="inlineStr">
        <is>
          <t>Profissional 2</t>
        </is>
      </c>
      <c r="C7" s="39" t="inlineStr">
        <is>
          <t>Tatuador</t>
        </is>
      </c>
      <c r="D7" s="103" t="n">
        <v>0.55</v>
      </c>
      <c r="E7" s="1" t="n"/>
      <c r="F7" s="1" t="n"/>
      <c r="G7" s="1" t="n"/>
      <c r="H7" s="1" t="n"/>
      <c r="I7" s="1" t="n"/>
      <c r="J7" s="1" t="n"/>
      <c r="K7" s="1" t="n"/>
      <c r="L7" s="1" t="n"/>
      <c r="M7" s="1" t="n"/>
    </row>
    <row r="8" ht="20" customHeight="1">
      <c r="A8" s="1" t="n"/>
      <c r="B8" s="39" t="inlineStr">
        <is>
          <t>Recepcionista</t>
        </is>
      </c>
      <c r="C8" s="39" t="inlineStr">
        <is>
          <t>Atendimento</t>
        </is>
      </c>
      <c r="D8" s="103" t="n">
        <v>0.3</v>
      </c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20" customHeight="1">
      <c r="A9" s="1" t="n"/>
      <c r="B9" s="39" t="inlineStr">
        <is>
          <t>Body Piercer</t>
        </is>
      </c>
      <c r="C9" s="39" t="inlineStr">
        <is>
          <t>Piercing</t>
        </is>
      </c>
      <c r="D9" s="103" t="n">
        <v>0.5</v>
      </c>
      <c r="E9" s="1" t="n"/>
      <c r="F9" s="1" t="n"/>
      <c r="G9" s="1" t="n"/>
      <c r="H9" s="1" t="n"/>
      <c r="I9" s="1" t="n"/>
      <c r="J9" s="1" t="n"/>
      <c r="K9" s="1" t="n"/>
      <c r="L9" s="1" t="n"/>
      <c r="M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</row>
    <row r="12" ht="20" customHeight="1">
      <c r="A12" s="1" t="n"/>
      <c r="B12" s="31" t="inlineStr">
        <is>
          <t>📋  LANÇAMENTOS DE COMISSÃO</t>
        </is>
      </c>
      <c r="M12" s="1" t="n"/>
    </row>
    <row r="13" ht="22" customHeight="1">
      <c r="A13" s="1" t="n"/>
      <c r="B13" s="38" t="inlineStr">
        <is>
          <t>DATA</t>
        </is>
      </c>
      <c r="C13" s="38" t="inlineStr">
        <is>
          <t>PROFISSIONAL</t>
        </is>
      </c>
      <c r="D13" s="38" t="inlineStr">
        <is>
          <t>SERVIÇO</t>
        </is>
      </c>
      <c r="E13" s="38" t="inlineStr">
        <is>
          <t>VALOR SERVIÇO</t>
        </is>
      </c>
      <c r="F13" s="38" t="inlineStr">
        <is>
          <t>% COMISSÃO</t>
        </is>
      </c>
      <c r="G13" s="38" t="inlineStr">
        <is>
          <t>VALOR COMISSÃO</t>
        </is>
      </c>
      <c r="H13" s="38" t="inlineStr">
        <is>
          <t>STATUS PGTO</t>
        </is>
      </c>
      <c r="I13" s="38" t="inlineStr">
        <is>
          <t>DATA PGTO</t>
        </is>
      </c>
      <c r="J13" s="1" t="n"/>
      <c r="K13" s="1" t="n"/>
      <c r="L13" s="1" t="n"/>
      <c r="M13" s="1" t="n"/>
    </row>
    <row r="14" ht="18" customHeight="1">
      <c r="A14" s="1" t="n"/>
      <c r="B14" s="33" t="n"/>
      <c r="C14" s="33" t="n"/>
      <c r="D14" s="33" t="n"/>
      <c r="E14" s="42" t="n"/>
      <c r="F14" s="33" t="n"/>
      <c r="G14" s="42">
        <f>IF(E14&lt;&gt;"",E14*F14,"")</f>
        <v/>
      </c>
      <c r="H14" s="33" t="n"/>
      <c r="I14" s="33" t="n"/>
      <c r="J14" s="1" t="n"/>
      <c r="K14" s="1" t="n"/>
      <c r="L14" s="1" t="n"/>
      <c r="M14" s="1" t="n"/>
    </row>
    <row r="15" ht="18" customHeight="1">
      <c r="A15" s="1" t="n"/>
      <c r="B15" s="39" t="n"/>
      <c r="C15" s="39" t="n"/>
      <c r="D15" s="39" t="n"/>
      <c r="E15" s="40" t="n"/>
      <c r="F15" s="39" t="n"/>
      <c r="G15" s="40">
        <f>IF(E15&lt;&gt;"",E15*F15,"")</f>
        <v/>
      </c>
      <c r="H15" s="39" t="n"/>
      <c r="I15" s="39" t="n"/>
      <c r="J15" s="1" t="n"/>
      <c r="K15" s="1" t="n"/>
      <c r="L15" s="1" t="n"/>
      <c r="M15" s="1" t="n"/>
    </row>
    <row r="16" ht="18" customHeight="1">
      <c r="A16" s="1" t="n"/>
      <c r="B16" s="33" t="n"/>
      <c r="C16" s="33" t="n"/>
      <c r="D16" s="33" t="n"/>
      <c r="E16" s="42" t="n"/>
      <c r="F16" s="33" t="n"/>
      <c r="G16" s="42">
        <f>IF(E16&lt;&gt;"",E16*F16,"")</f>
        <v/>
      </c>
      <c r="H16" s="33" t="n"/>
      <c r="I16" s="33" t="n"/>
      <c r="J16" s="1" t="n"/>
      <c r="K16" s="1" t="n"/>
      <c r="L16" s="1" t="n"/>
      <c r="M16" s="1" t="n"/>
    </row>
    <row r="17" ht="18" customHeight="1">
      <c r="A17" s="1" t="n"/>
      <c r="B17" s="39" t="n"/>
      <c r="C17" s="39" t="n"/>
      <c r="D17" s="39" t="n"/>
      <c r="E17" s="40" t="n"/>
      <c r="F17" s="39" t="n"/>
      <c r="G17" s="40">
        <f>IF(E17&lt;&gt;"",E17*F17,"")</f>
        <v/>
      </c>
      <c r="H17" s="39" t="n"/>
      <c r="I17" s="39" t="n"/>
      <c r="J17" s="1" t="n"/>
      <c r="K17" s="1" t="n"/>
      <c r="L17" s="1" t="n"/>
      <c r="M17" s="1" t="n"/>
    </row>
    <row r="18" ht="18" customHeight="1">
      <c r="A18" s="1" t="n"/>
      <c r="B18" s="33" t="n"/>
      <c r="C18" s="33" t="n"/>
      <c r="D18" s="33" t="n"/>
      <c r="E18" s="42" t="n"/>
      <c r="F18" s="33" t="n"/>
      <c r="G18" s="42">
        <f>IF(E18&lt;&gt;"",E18*F18,"")</f>
        <v/>
      </c>
      <c r="H18" s="33" t="n"/>
      <c r="I18" s="33" t="n"/>
      <c r="J18" s="1" t="n"/>
      <c r="K18" s="1" t="n"/>
      <c r="L18" s="1" t="n"/>
      <c r="M18" s="1" t="n"/>
    </row>
    <row r="19" ht="18" customHeight="1">
      <c r="A19" s="1" t="n"/>
      <c r="B19" s="39" t="n"/>
      <c r="C19" s="39" t="n"/>
      <c r="D19" s="39" t="n"/>
      <c r="E19" s="40" t="n"/>
      <c r="F19" s="39" t="n"/>
      <c r="G19" s="40">
        <f>IF(E19&lt;&gt;"",E19*F19,"")</f>
        <v/>
      </c>
      <c r="H19" s="39" t="n"/>
      <c r="I19" s="39" t="n"/>
      <c r="J19" s="1" t="n"/>
      <c r="K19" s="1" t="n"/>
      <c r="L19" s="1" t="n"/>
      <c r="M19" s="1" t="n"/>
    </row>
    <row r="20" ht="18" customHeight="1">
      <c r="A20" s="1" t="n"/>
      <c r="B20" s="33" t="n"/>
      <c r="C20" s="33" t="n"/>
      <c r="D20" s="33" t="n"/>
      <c r="E20" s="42" t="n"/>
      <c r="F20" s="33" t="n"/>
      <c r="G20" s="42">
        <f>IF(E20&lt;&gt;"",E20*F20,"")</f>
        <v/>
      </c>
      <c r="H20" s="33" t="n"/>
      <c r="I20" s="33" t="n"/>
      <c r="J20" s="1" t="n"/>
      <c r="K20" s="1" t="n"/>
      <c r="L20" s="1" t="n"/>
      <c r="M20" s="1" t="n"/>
    </row>
    <row r="21" ht="18" customHeight="1">
      <c r="A21" s="1" t="n"/>
      <c r="B21" s="39" t="n"/>
      <c r="C21" s="39" t="n"/>
      <c r="D21" s="39" t="n"/>
      <c r="E21" s="40" t="n"/>
      <c r="F21" s="39" t="n"/>
      <c r="G21" s="40">
        <f>IF(E21&lt;&gt;"",E21*F21,"")</f>
        <v/>
      </c>
      <c r="H21" s="39" t="n"/>
      <c r="I21" s="39" t="n"/>
      <c r="J21" s="1" t="n"/>
      <c r="K21" s="1" t="n"/>
      <c r="L21" s="1" t="n"/>
      <c r="M21" s="1" t="n"/>
    </row>
    <row r="22" ht="18" customHeight="1">
      <c r="A22" s="1" t="n"/>
      <c r="B22" s="33" t="n"/>
      <c r="C22" s="33" t="n"/>
      <c r="D22" s="33" t="n"/>
      <c r="E22" s="42" t="n"/>
      <c r="F22" s="33" t="n"/>
      <c r="G22" s="42">
        <f>IF(E22&lt;&gt;"",E22*F22,"")</f>
        <v/>
      </c>
      <c r="H22" s="33" t="n"/>
      <c r="I22" s="33" t="n"/>
      <c r="J22" s="1" t="n"/>
      <c r="K22" s="1" t="n"/>
      <c r="L22" s="1" t="n"/>
      <c r="M22" s="1" t="n"/>
    </row>
    <row r="23" ht="18" customHeight="1">
      <c r="A23" s="1" t="n"/>
      <c r="B23" s="39" t="n"/>
      <c r="C23" s="39" t="n"/>
      <c r="D23" s="39" t="n"/>
      <c r="E23" s="40" t="n"/>
      <c r="F23" s="39" t="n"/>
      <c r="G23" s="40">
        <f>IF(E23&lt;&gt;"",E23*F23,"")</f>
        <v/>
      </c>
      <c r="H23" s="39" t="n"/>
      <c r="I23" s="39" t="n"/>
      <c r="J23" s="1" t="n"/>
      <c r="K23" s="1" t="n"/>
      <c r="L23" s="1" t="n"/>
      <c r="M23" s="1" t="n"/>
    </row>
    <row r="24" ht="18" customHeight="1">
      <c r="A24" s="1" t="n"/>
      <c r="B24" s="33" t="n"/>
      <c r="C24" s="33" t="n"/>
      <c r="D24" s="33" t="n"/>
      <c r="E24" s="42" t="n"/>
      <c r="F24" s="33" t="n"/>
      <c r="G24" s="42">
        <f>IF(E24&lt;&gt;"",E24*F24,"")</f>
        <v/>
      </c>
      <c r="H24" s="33" t="n"/>
      <c r="I24" s="33" t="n"/>
      <c r="J24" s="1" t="n"/>
      <c r="K24" s="1" t="n"/>
      <c r="L24" s="1" t="n"/>
      <c r="M24" s="1" t="n"/>
    </row>
    <row r="25" ht="18" customHeight="1">
      <c r="A25" s="1" t="n"/>
      <c r="B25" s="39" t="n"/>
      <c r="C25" s="39" t="n"/>
      <c r="D25" s="39" t="n"/>
      <c r="E25" s="40" t="n"/>
      <c r="F25" s="39" t="n"/>
      <c r="G25" s="40">
        <f>IF(E25&lt;&gt;"",E25*F25,"")</f>
        <v/>
      </c>
      <c r="H25" s="39" t="n"/>
      <c r="I25" s="39" t="n"/>
      <c r="J25" s="1" t="n"/>
      <c r="K25" s="1" t="n"/>
      <c r="L25" s="1" t="n"/>
      <c r="M25" s="1" t="n"/>
    </row>
    <row r="26" ht="18" customHeight="1">
      <c r="A26" s="1" t="n"/>
      <c r="B26" s="33" t="n"/>
      <c r="C26" s="33" t="n"/>
      <c r="D26" s="33" t="n"/>
      <c r="E26" s="42" t="n"/>
      <c r="F26" s="33" t="n"/>
      <c r="G26" s="42">
        <f>IF(E26&lt;&gt;"",E26*F26,"")</f>
        <v/>
      </c>
      <c r="H26" s="33" t="n"/>
      <c r="I26" s="33" t="n"/>
      <c r="J26" s="1" t="n"/>
      <c r="K26" s="1" t="n"/>
      <c r="L26" s="1" t="n"/>
      <c r="M26" s="1" t="n"/>
    </row>
    <row r="27" ht="18" customHeight="1">
      <c r="A27" s="1" t="n"/>
      <c r="B27" s="39" t="n"/>
      <c r="C27" s="39" t="n"/>
      <c r="D27" s="39" t="n"/>
      <c r="E27" s="40" t="n"/>
      <c r="F27" s="39" t="n"/>
      <c r="G27" s="40">
        <f>IF(E27&lt;&gt;"",E27*F27,"")</f>
        <v/>
      </c>
      <c r="H27" s="39" t="n"/>
      <c r="I27" s="39" t="n"/>
      <c r="J27" s="1" t="n"/>
      <c r="K27" s="1" t="n"/>
      <c r="L27" s="1" t="n"/>
      <c r="M27" s="1" t="n"/>
    </row>
    <row r="28" ht="18" customHeight="1">
      <c r="A28" s="1" t="n"/>
      <c r="B28" s="33" t="n"/>
      <c r="C28" s="33" t="n"/>
      <c r="D28" s="33" t="n"/>
      <c r="E28" s="42" t="n"/>
      <c r="F28" s="33" t="n"/>
      <c r="G28" s="42">
        <f>IF(E28&lt;&gt;"",E28*F28,"")</f>
        <v/>
      </c>
      <c r="H28" s="33" t="n"/>
      <c r="I28" s="33" t="n"/>
      <c r="J28" s="1" t="n"/>
      <c r="K28" s="1" t="n"/>
      <c r="L28" s="1" t="n"/>
      <c r="M28" s="1" t="n"/>
    </row>
    <row r="29" ht="18" customHeight="1">
      <c r="A29" s="1" t="n"/>
      <c r="B29" s="39" t="n"/>
      <c r="C29" s="39" t="n"/>
      <c r="D29" s="39" t="n"/>
      <c r="E29" s="40" t="n"/>
      <c r="F29" s="39" t="n"/>
      <c r="G29" s="40">
        <f>IF(E29&lt;&gt;"",E29*F29,"")</f>
        <v/>
      </c>
      <c r="H29" s="39" t="n"/>
      <c r="I29" s="39" t="n"/>
      <c r="J29" s="1" t="n"/>
      <c r="K29" s="1" t="n"/>
      <c r="L29" s="1" t="n"/>
      <c r="M29" s="1" t="n"/>
    </row>
    <row r="30" ht="18" customHeight="1">
      <c r="A30" s="1" t="n"/>
      <c r="B30" s="33" t="n"/>
      <c r="C30" s="33" t="n"/>
      <c r="D30" s="33" t="n"/>
      <c r="E30" s="42" t="n"/>
      <c r="F30" s="33" t="n"/>
      <c r="G30" s="42">
        <f>IF(E30&lt;&gt;"",E30*F30,"")</f>
        <v/>
      </c>
      <c r="H30" s="33" t="n"/>
      <c r="I30" s="33" t="n"/>
      <c r="J30" s="1" t="n"/>
      <c r="K30" s="1" t="n"/>
      <c r="L30" s="1" t="n"/>
      <c r="M30" s="1" t="n"/>
    </row>
    <row r="31" ht="18" customHeight="1">
      <c r="A31" s="1" t="n"/>
      <c r="B31" s="39" t="n"/>
      <c r="C31" s="39" t="n"/>
      <c r="D31" s="39" t="n"/>
      <c r="E31" s="40" t="n"/>
      <c r="F31" s="39" t="n"/>
      <c r="G31" s="40">
        <f>IF(E31&lt;&gt;"",E31*F31,"")</f>
        <v/>
      </c>
      <c r="H31" s="39" t="n"/>
      <c r="I31" s="39" t="n"/>
      <c r="J31" s="1" t="n"/>
      <c r="K31" s="1" t="n"/>
      <c r="L31" s="1" t="n"/>
      <c r="M31" s="1" t="n"/>
    </row>
    <row r="32" ht="18" customHeight="1">
      <c r="A32" s="1" t="n"/>
      <c r="B32" s="33" t="n"/>
      <c r="C32" s="33" t="n"/>
      <c r="D32" s="33" t="n"/>
      <c r="E32" s="42" t="n"/>
      <c r="F32" s="33" t="n"/>
      <c r="G32" s="42">
        <f>IF(E32&lt;&gt;"",E32*F32,"")</f>
        <v/>
      </c>
      <c r="H32" s="33" t="n"/>
      <c r="I32" s="33" t="n"/>
      <c r="J32" s="1" t="n"/>
      <c r="K32" s="1" t="n"/>
      <c r="L32" s="1" t="n"/>
      <c r="M32" s="1" t="n"/>
    </row>
    <row r="33" ht="18" customHeight="1">
      <c r="A33" s="1" t="n"/>
      <c r="B33" s="39" t="n"/>
      <c r="C33" s="39" t="n"/>
      <c r="D33" s="39" t="n"/>
      <c r="E33" s="40" t="n"/>
      <c r="F33" s="39" t="n"/>
      <c r="G33" s="40">
        <f>IF(E33&lt;&gt;"",E33*F33,"")</f>
        <v/>
      </c>
      <c r="H33" s="39" t="n"/>
      <c r="I33" s="39" t="n"/>
      <c r="J33" s="1" t="n"/>
      <c r="K33" s="1" t="n"/>
      <c r="L33" s="1" t="n"/>
      <c r="M33" s="1" t="n"/>
    </row>
    <row r="34" ht="18" customHeight="1">
      <c r="A34" s="1" t="n"/>
      <c r="B34" s="33" t="n"/>
      <c r="C34" s="33" t="n"/>
      <c r="D34" s="33" t="n"/>
      <c r="E34" s="42" t="n"/>
      <c r="F34" s="33" t="n"/>
      <c r="G34" s="42">
        <f>IF(E34&lt;&gt;"",E34*F34,"")</f>
        <v/>
      </c>
      <c r="H34" s="33" t="n"/>
      <c r="I34" s="33" t="n"/>
      <c r="J34" s="1" t="n"/>
      <c r="K34" s="1" t="n"/>
      <c r="L34" s="1" t="n"/>
      <c r="M34" s="1" t="n"/>
    </row>
    <row r="35" ht="18" customHeight="1">
      <c r="A35" s="1" t="n"/>
      <c r="B35" s="39" t="n"/>
      <c r="C35" s="39" t="n"/>
      <c r="D35" s="39" t="n"/>
      <c r="E35" s="40" t="n"/>
      <c r="F35" s="39" t="n"/>
      <c r="G35" s="40">
        <f>IF(E35&lt;&gt;"",E35*F35,"")</f>
        <v/>
      </c>
      <c r="H35" s="39" t="n"/>
      <c r="I35" s="39" t="n"/>
      <c r="J35" s="1" t="n"/>
      <c r="K35" s="1" t="n"/>
      <c r="L35" s="1" t="n"/>
      <c r="M35" s="1" t="n"/>
    </row>
    <row r="36" ht="18" customHeight="1">
      <c r="A36" s="1" t="n"/>
      <c r="B36" s="33" t="n"/>
      <c r="C36" s="33" t="n"/>
      <c r="D36" s="33" t="n"/>
      <c r="E36" s="42" t="n"/>
      <c r="F36" s="33" t="n"/>
      <c r="G36" s="42">
        <f>IF(E36&lt;&gt;"",E36*F36,"")</f>
        <v/>
      </c>
      <c r="H36" s="33" t="n"/>
      <c r="I36" s="33" t="n"/>
      <c r="J36" s="1" t="n"/>
      <c r="K36" s="1" t="n"/>
      <c r="L36" s="1" t="n"/>
      <c r="M36" s="1" t="n"/>
    </row>
    <row r="37" ht="18" customHeight="1">
      <c r="A37" s="1" t="n"/>
      <c r="B37" s="39" t="n"/>
      <c r="C37" s="39" t="n"/>
      <c r="D37" s="39" t="n"/>
      <c r="E37" s="40" t="n"/>
      <c r="F37" s="39" t="n"/>
      <c r="G37" s="40">
        <f>IF(E37&lt;&gt;"",E37*F37,"")</f>
        <v/>
      </c>
      <c r="H37" s="39" t="n"/>
      <c r="I37" s="39" t="n"/>
      <c r="J37" s="1" t="n"/>
      <c r="K37" s="1" t="n"/>
      <c r="L37" s="1" t="n"/>
      <c r="M37" s="1" t="n"/>
    </row>
    <row r="38" ht="18" customHeight="1">
      <c r="A38" s="1" t="n"/>
      <c r="B38" s="33" t="n"/>
      <c r="C38" s="33" t="n"/>
      <c r="D38" s="33" t="n"/>
      <c r="E38" s="42" t="n"/>
      <c r="F38" s="33" t="n"/>
      <c r="G38" s="42">
        <f>IF(E38&lt;&gt;"",E38*F38,"")</f>
        <v/>
      </c>
      <c r="H38" s="33" t="n"/>
      <c r="I38" s="33" t="n"/>
      <c r="J38" s="1" t="n"/>
      <c r="K38" s="1" t="n"/>
      <c r="L38" s="1" t="n"/>
      <c r="M38" s="1" t="n"/>
    </row>
    <row r="39" ht="18" customHeight="1">
      <c r="A39" s="1" t="n"/>
      <c r="B39" s="39" t="n"/>
      <c r="C39" s="39" t="n"/>
      <c r="D39" s="39" t="n"/>
      <c r="E39" s="40" t="n"/>
      <c r="F39" s="39" t="n"/>
      <c r="G39" s="40">
        <f>IF(E39&lt;&gt;"",E39*F39,"")</f>
        <v/>
      </c>
      <c r="H39" s="39" t="n"/>
      <c r="I39" s="39" t="n"/>
      <c r="J39" s="1" t="n"/>
      <c r="K39" s="1" t="n"/>
      <c r="L39" s="1" t="n"/>
      <c r="M39" s="1" t="n"/>
    </row>
    <row r="40" ht="18" customHeight="1">
      <c r="A40" s="1" t="n"/>
      <c r="B40" s="33" t="n"/>
      <c r="C40" s="33" t="n"/>
      <c r="D40" s="33" t="n"/>
      <c r="E40" s="42" t="n"/>
      <c r="F40" s="33" t="n"/>
      <c r="G40" s="42">
        <f>IF(E40&lt;&gt;"",E40*F40,"")</f>
        <v/>
      </c>
      <c r="H40" s="33" t="n"/>
      <c r="I40" s="33" t="n"/>
      <c r="J40" s="1" t="n"/>
      <c r="K40" s="1" t="n"/>
      <c r="L40" s="1" t="n"/>
      <c r="M40" s="1" t="n"/>
    </row>
    <row r="41" ht="18" customHeight="1">
      <c r="A41" s="1" t="n"/>
      <c r="B41" s="39" t="n"/>
      <c r="C41" s="39" t="n"/>
      <c r="D41" s="39" t="n"/>
      <c r="E41" s="40" t="n"/>
      <c r="F41" s="39" t="n"/>
      <c r="G41" s="40">
        <f>IF(E41&lt;&gt;"",E41*F41,"")</f>
        <v/>
      </c>
      <c r="H41" s="39" t="n"/>
      <c r="I41" s="39" t="n"/>
      <c r="J41" s="1" t="n"/>
      <c r="K41" s="1" t="n"/>
      <c r="L41" s="1" t="n"/>
      <c r="M41" s="1" t="n"/>
    </row>
    <row r="42" ht="18" customHeight="1">
      <c r="A42" s="1" t="n"/>
      <c r="B42" s="33" t="n"/>
      <c r="C42" s="33" t="n"/>
      <c r="D42" s="33" t="n"/>
      <c r="E42" s="42" t="n"/>
      <c r="F42" s="33" t="n"/>
      <c r="G42" s="42">
        <f>IF(E42&lt;&gt;"",E42*F42,"")</f>
        <v/>
      </c>
      <c r="H42" s="33" t="n"/>
      <c r="I42" s="33" t="n"/>
      <c r="J42" s="1" t="n"/>
      <c r="K42" s="1" t="n"/>
      <c r="L42" s="1" t="n"/>
      <c r="M42" s="1" t="n"/>
    </row>
    <row r="43" ht="18" customHeight="1">
      <c r="A43" s="1" t="n"/>
      <c r="B43" s="39" t="n"/>
      <c r="C43" s="39" t="n"/>
      <c r="D43" s="39" t="n"/>
      <c r="E43" s="40" t="n"/>
      <c r="F43" s="39" t="n"/>
      <c r="G43" s="40">
        <f>IF(E43&lt;&gt;"",E43*F43,"")</f>
        <v/>
      </c>
      <c r="H43" s="39" t="n"/>
      <c r="I43" s="39" t="n"/>
      <c r="J43" s="1" t="n"/>
      <c r="K43" s="1" t="n"/>
      <c r="L43" s="1" t="n"/>
      <c r="M43" s="1" t="n"/>
    </row>
    <row r="44" ht="18" customHeight="1">
      <c r="A44" s="1" t="n"/>
      <c r="B44" s="33" t="n"/>
      <c r="C44" s="33" t="n"/>
      <c r="D44" s="33" t="n"/>
      <c r="E44" s="42" t="n"/>
      <c r="F44" s="33" t="n"/>
      <c r="G44" s="42">
        <f>IF(E44&lt;&gt;"",E44*F44,"")</f>
        <v/>
      </c>
      <c r="H44" s="33" t="n"/>
      <c r="I44" s="33" t="n"/>
      <c r="J44" s="1" t="n"/>
      <c r="K44" s="1" t="n"/>
      <c r="L44" s="1" t="n"/>
      <c r="M44" s="1" t="n"/>
    </row>
    <row r="45" ht="18" customHeight="1">
      <c r="A45" s="1" t="n"/>
      <c r="B45" s="39" t="n"/>
      <c r="C45" s="39" t="n"/>
      <c r="D45" s="39" t="n"/>
      <c r="E45" s="40" t="n"/>
      <c r="F45" s="39" t="n"/>
      <c r="G45" s="40">
        <f>IF(E45&lt;&gt;"",E45*F45,"")</f>
        <v/>
      </c>
      <c r="H45" s="39" t="n"/>
      <c r="I45" s="39" t="n"/>
      <c r="J45" s="1" t="n"/>
      <c r="K45" s="1" t="n"/>
      <c r="L45" s="1" t="n"/>
      <c r="M45" s="1" t="n"/>
    </row>
    <row r="46" ht="18" customHeight="1">
      <c r="A46" s="1" t="n"/>
      <c r="B46" s="33" t="n"/>
      <c r="C46" s="33" t="n"/>
      <c r="D46" s="33" t="n"/>
      <c r="E46" s="42" t="n"/>
      <c r="F46" s="33" t="n"/>
      <c r="G46" s="42">
        <f>IF(E46&lt;&gt;"",E46*F46,"")</f>
        <v/>
      </c>
      <c r="H46" s="33" t="n"/>
      <c r="I46" s="33" t="n"/>
      <c r="J46" s="1" t="n"/>
      <c r="K46" s="1" t="n"/>
      <c r="L46" s="1" t="n"/>
      <c r="M46" s="1" t="n"/>
    </row>
    <row r="47" ht="18" customHeight="1">
      <c r="A47" s="1" t="n"/>
      <c r="B47" s="39" t="n"/>
      <c r="C47" s="39" t="n"/>
      <c r="D47" s="39" t="n"/>
      <c r="E47" s="40" t="n"/>
      <c r="F47" s="39" t="n"/>
      <c r="G47" s="40">
        <f>IF(E47&lt;&gt;"",E47*F47,"")</f>
        <v/>
      </c>
      <c r="H47" s="39" t="n"/>
      <c r="I47" s="39" t="n"/>
      <c r="J47" s="1" t="n"/>
      <c r="K47" s="1" t="n"/>
      <c r="L47" s="1" t="n"/>
      <c r="M47" s="1" t="n"/>
    </row>
    <row r="48" ht="18" customHeight="1">
      <c r="A48" s="1" t="n"/>
      <c r="B48" s="33" t="n"/>
      <c r="C48" s="33" t="n"/>
      <c r="D48" s="33" t="n"/>
      <c r="E48" s="42" t="n"/>
      <c r="F48" s="33" t="n"/>
      <c r="G48" s="42">
        <f>IF(E48&lt;&gt;"",E48*F48,"")</f>
        <v/>
      </c>
      <c r="H48" s="33" t="n"/>
      <c r="I48" s="33" t="n"/>
      <c r="J48" s="1" t="n"/>
      <c r="K48" s="1" t="n"/>
      <c r="L48" s="1" t="n"/>
      <c r="M48" s="1" t="n"/>
    </row>
    <row r="49" ht="18" customHeight="1">
      <c r="A49" s="1" t="n"/>
      <c r="B49" s="39" t="n"/>
      <c r="C49" s="39" t="n"/>
      <c r="D49" s="39" t="n"/>
      <c r="E49" s="40" t="n"/>
      <c r="F49" s="39" t="n"/>
      <c r="G49" s="40">
        <f>IF(E49&lt;&gt;"",E49*F49,"")</f>
        <v/>
      </c>
      <c r="H49" s="39" t="n"/>
      <c r="I49" s="39" t="n"/>
      <c r="J49" s="1" t="n"/>
      <c r="K49" s="1" t="n"/>
      <c r="L49" s="1" t="n"/>
      <c r="M49" s="1" t="n"/>
    </row>
    <row r="50" ht="18" customHeight="1">
      <c r="A50" s="1" t="n"/>
      <c r="B50" s="33" t="n"/>
      <c r="C50" s="33" t="n"/>
      <c r="D50" s="33" t="n"/>
      <c r="E50" s="42" t="n"/>
      <c r="F50" s="33" t="n"/>
      <c r="G50" s="42">
        <f>IF(E50&lt;&gt;"",E50*F50,"")</f>
        <v/>
      </c>
      <c r="H50" s="33" t="n"/>
      <c r="I50" s="33" t="n"/>
      <c r="J50" s="1" t="n"/>
      <c r="K50" s="1" t="n"/>
      <c r="L50" s="1" t="n"/>
      <c r="M50" s="1" t="n"/>
    </row>
    <row r="51" ht="18" customHeight="1">
      <c r="A51" s="1" t="n"/>
      <c r="B51" s="39" t="n"/>
      <c r="C51" s="39" t="n"/>
      <c r="D51" s="39" t="n"/>
      <c r="E51" s="40" t="n"/>
      <c r="F51" s="39" t="n"/>
      <c r="G51" s="40">
        <f>IF(E51&lt;&gt;"",E51*F51,"")</f>
        <v/>
      </c>
      <c r="H51" s="39" t="n"/>
      <c r="I51" s="39" t="n"/>
      <c r="J51" s="1" t="n"/>
      <c r="K51" s="1" t="n"/>
      <c r="L51" s="1" t="n"/>
      <c r="M51" s="1" t="n"/>
    </row>
    <row r="52" ht="18" customHeight="1">
      <c r="A52" s="1" t="n"/>
      <c r="B52" s="33" t="n"/>
      <c r="C52" s="33" t="n"/>
      <c r="D52" s="33" t="n"/>
      <c r="E52" s="42" t="n"/>
      <c r="F52" s="33" t="n"/>
      <c r="G52" s="42">
        <f>IF(E52&lt;&gt;"",E52*F52,"")</f>
        <v/>
      </c>
      <c r="H52" s="33" t="n"/>
      <c r="I52" s="33" t="n"/>
      <c r="J52" s="1" t="n"/>
      <c r="K52" s="1" t="n"/>
      <c r="L52" s="1" t="n"/>
      <c r="M52" s="1" t="n"/>
    </row>
    <row r="53" ht="18" customHeight="1">
      <c r="A53" s="1" t="n"/>
      <c r="B53" s="39" t="n"/>
      <c r="C53" s="39" t="n"/>
      <c r="D53" s="39" t="n"/>
      <c r="E53" s="40" t="n"/>
      <c r="F53" s="39" t="n"/>
      <c r="G53" s="40">
        <f>IF(E53&lt;&gt;"",E53*F53,"")</f>
        <v/>
      </c>
      <c r="H53" s="39" t="n"/>
      <c r="I53" s="39" t="n"/>
      <c r="J53" s="1" t="n"/>
      <c r="K53" s="1" t="n"/>
      <c r="L53" s="1" t="n"/>
      <c r="M53" s="1" t="n"/>
    </row>
    <row r="54" ht="18" customHeight="1">
      <c r="A54" s="1" t="n"/>
      <c r="B54" s="33" t="n"/>
      <c r="C54" s="33" t="n"/>
      <c r="D54" s="33" t="n"/>
      <c r="E54" s="42" t="n"/>
      <c r="F54" s="33" t="n"/>
      <c r="G54" s="42">
        <f>IF(E54&lt;&gt;"",E54*F54,"")</f>
        <v/>
      </c>
      <c r="H54" s="33" t="n"/>
      <c r="I54" s="33" t="n"/>
      <c r="J54" s="1" t="n"/>
      <c r="K54" s="1" t="n"/>
      <c r="L54" s="1" t="n"/>
      <c r="M54" s="1" t="n"/>
    </row>
    <row r="55" ht="18" customHeight="1">
      <c r="A55" s="1" t="n"/>
      <c r="B55" s="39" t="n"/>
      <c r="C55" s="39" t="n"/>
      <c r="D55" s="39" t="n"/>
      <c r="E55" s="40" t="n"/>
      <c r="F55" s="39" t="n"/>
      <c r="G55" s="40">
        <f>IF(E55&lt;&gt;"",E55*F55,"")</f>
        <v/>
      </c>
      <c r="H55" s="39" t="n"/>
      <c r="I55" s="39" t="n"/>
      <c r="J55" s="1" t="n"/>
      <c r="K55" s="1" t="n"/>
      <c r="L55" s="1" t="n"/>
      <c r="M55" s="1" t="n"/>
    </row>
    <row r="56" ht="18" customHeight="1">
      <c r="A56" s="1" t="n"/>
      <c r="B56" s="33" t="n"/>
      <c r="C56" s="33" t="n"/>
      <c r="D56" s="33" t="n"/>
      <c r="E56" s="42" t="n"/>
      <c r="F56" s="33" t="n"/>
      <c r="G56" s="42">
        <f>IF(E56&lt;&gt;"",E56*F56,"")</f>
        <v/>
      </c>
      <c r="H56" s="33" t="n"/>
      <c r="I56" s="33" t="n"/>
      <c r="J56" s="1" t="n"/>
      <c r="K56" s="1" t="n"/>
      <c r="L56" s="1" t="n"/>
      <c r="M56" s="1" t="n"/>
    </row>
    <row r="57" ht="18" customHeight="1">
      <c r="A57" s="1" t="n"/>
      <c r="B57" s="39" t="n"/>
      <c r="C57" s="39" t="n"/>
      <c r="D57" s="39" t="n"/>
      <c r="E57" s="40" t="n"/>
      <c r="F57" s="39" t="n"/>
      <c r="G57" s="40">
        <f>IF(E57&lt;&gt;"",E57*F57,"")</f>
        <v/>
      </c>
      <c r="H57" s="39" t="n"/>
      <c r="I57" s="39" t="n"/>
      <c r="J57" s="1" t="n"/>
      <c r="K57" s="1" t="n"/>
      <c r="L57" s="1" t="n"/>
      <c r="M57" s="1" t="n"/>
    </row>
    <row r="58" ht="18" customHeight="1">
      <c r="A58" s="1" t="n"/>
      <c r="B58" s="33" t="n"/>
      <c r="C58" s="33" t="n"/>
      <c r="D58" s="33" t="n"/>
      <c r="E58" s="42" t="n"/>
      <c r="F58" s="33" t="n"/>
      <c r="G58" s="42">
        <f>IF(E58&lt;&gt;"",E58*F58,"")</f>
        <v/>
      </c>
      <c r="H58" s="33" t="n"/>
      <c r="I58" s="33" t="n"/>
      <c r="J58" s="1" t="n"/>
      <c r="K58" s="1" t="n"/>
      <c r="L58" s="1" t="n"/>
      <c r="M58" s="1" t="n"/>
    </row>
    <row r="59" ht="18" customHeight="1">
      <c r="A59" s="1" t="n"/>
      <c r="B59" s="39" t="n"/>
      <c r="C59" s="39" t="n"/>
      <c r="D59" s="39" t="n"/>
      <c r="E59" s="40" t="n"/>
      <c r="F59" s="39" t="n"/>
      <c r="G59" s="40">
        <f>IF(E59&lt;&gt;"",E59*F59,"")</f>
        <v/>
      </c>
      <c r="H59" s="39" t="n"/>
      <c r="I59" s="39" t="n"/>
      <c r="J59" s="1" t="n"/>
      <c r="K59" s="1" t="n"/>
      <c r="L59" s="1" t="n"/>
      <c r="M59" s="1" t="n"/>
    </row>
    <row r="60" ht="18" customHeight="1">
      <c r="A60" s="1" t="n"/>
      <c r="B60" s="33" t="n"/>
      <c r="C60" s="33" t="n"/>
      <c r="D60" s="33" t="n"/>
      <c r="E60" s="42" t="n"/>
      <c r="F60" s="33" t="n"/>
      <c r="G60" s="42">
        <f>IF(E60&lt;&gt;"",E60*F60,"")</f>
        <v/>
      </c>
      <c r="H60" s="33" t="n"/>
      <c r="I60" s="33" t="n"/>
      <c r="J60" s="1" t="n"/>
      <c r="K60" s="1" t="n"/>
      <c r="L60" s="1" t="n"/>
      <c r="M60" s="1" t="n"/>
    </row>
    <row r="61" ht="18" customHeight="1">
      <c r="A61" s="1" t="n"/>
      <c r="B61" s="39" t="n"/>
      <c r="C61" s="39" t="n"/>
      <c r="D61" s="39" t="n"/>
      <c r="E61" s="40" t="n"/>
      <c r="F61" s="39" t="n"/>
      <c r="G61" s="40">
        <f>IF(E61&lt;&gt;"",E61*F61,"")</f>
        <v/>
      </c>
      <c r="H61" s="39" t="n"/>
      <c r="I61" s="39" t="n"/>
      <c r="J61" s="1" t="n"/>
      <c r="K61" s="1" t="n"/>
      <c r="L61" s="1" t="n"/>
      <c r="M61" s="1" t="n"/>
    </row>
    <row r="62" ht="18" customHeight="1">
      <c r="A62" s="1" t="n"/>
      <c r="B62" s="33" t="n"/>
      <c r="C62" s="33" t="n"/>
      <c r="D62" s="33" t="n"/>
      <c r="E62" s="42" t="n"/>
      <c r="F62" s="33" t="n"/>
      <c r="G62" s="42">
        <f>IF(E62&lt;&gt;"",E62*F62,"")</f>
        <v/>
      </c>
      <c r="H62" s="33" t="n"/>
      <c r="I62" s="33" t="n"/>
      <c r="J62" s="1" t="n"/>
      <c r="K62" s="1" t="n"/>
      <c r="L62" s="1" t="n"/>
      <c r="M62" s="1" t="n"/>
    </row>
    <row r="63" ht="18" customHeight="1">
      <c r="A63" s="1" t="n"/>
      <c r="B63" s="39" t="n"/>
      <c r="C63" s="39" t="n"/>
      <c r="D63" s="39" t="n"/>
      <c r="E63" s="40" t="n"/>
      <c r="F63" s="39" t="n"/>
      <c r="G63" s="40">
        <f>IF(E63&lt;&gt;"",E63*F63,"")</f>
        <v/>
      </c>
      <c r="H63" s="39" t="n"/>
      <c r="I63" s="39" t="n"/>
      <c r="J63" s="1" t="n"/>
      <c r="K63" s="1" t="n"/>
      <c r="L63" s="1" t="n"/>
      <c r="M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</row>
  </sheetData>
  <mergeCells count="3">
    <mergeCell ref="B4:L4"/>
    <mergeCell ref="B2:M2"/>
    <mergeCell ref="B12:L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2026-05-15T17:43:20Z</dcterms:created>
  <dcterms:modified xmlns:dcterms="http://purl.org/dc/terms/" xmlns:xsi="http://www.w3.org/2001/XMLSchema-instance" xsi:type="dcterms:W3CDTF">2026-05-15T17:43:22Z</dcterms:modified>
</cp:coreProperties>
</file>