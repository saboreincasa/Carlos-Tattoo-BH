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ício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📅 Agenda" sheetId="3" state="visible" r:id="rId3"/>
    <sheet xmlns:r="http://schemas.openxmlformats.org/officeDocument/2006/relationships" name="👥 Clientes CRM" sheetId="4" state="visible" r:id="rId4"/>
    <sheet xmlns:r="http://schemas.openxmlformats.org/officeDocument/2006/relationships" name="🔔 Follow-Up" sheetId="5" state="visible" r:id="rId5"/>
    <sheet xmlns:r="http://schemas.openxmlformats.org/officeDocument/2006/relationships" name="💰 Financeiro" sheetId="6" state="visible" r:id="rId6"/>
    <sheet xmlns:r="http://schemas.openxmlformats.org/officeDocument/2006/relationships" name="🧮 Calculadora" sheetId="7" state="visible" r:id="rId7"/>
    <sheet xmlns:r="http://schemas.openxmlformats.org/officeDocument/2006/relationships" name="📦 Estoque" sheetId="8" state="visible" r:id="rId8"/>
    <sheet xmlns:r="http://schemas.openxmlformats.org/officeDocument/2006/relationships" name="🎯 Leads" sheetId="9" state="visible" r:id="rId9"/>
    <sheet xmlns:r="http://schemas.openxmlformats.org/officeDocument/2006/relationships" name="📈 Metas" sheetId="10" state="visible" r:id="rId10"/>
    <sheet xmlns:r="http://schemas.openxmlformats.org/officeDocument/2006/relationships" name="💎 Sinais" sheetId="11" state="visible" r:id="rId11"/>
    <sheet xmlns:r="http://schemas.openxmlformats.org/officeDocument/2006/relationships" name="🌿 Cicatrização" sheetId="12" state="visible" r:id="rId12"/>
    <sheet xmlns:r="http://schemas.openxmlformats.org/officeDocument/2006/relationships" name="💼 Comissões" sheetId="13" state="visible" r:id="rId13"/>
    <sheet xmlns:r="http://schemas.openxmlformats.org/officeDocument/2006/relationships" name="📋 Contratos" sheetId="14" state="visible" r:id="rId14"/>
    <sheet xmlns:r="http://schemas.openxmlformats.org/officeDocument/2006/relationships" name="📊 Relatório" sheetId="15" state="visible" r:id="rId15"/>
    <sheet xmlns:r="http://schemas.openxmlformats.org/officeDocument/2006/relationships" name="🏷️ Preços" sheetId="16" state="visible" r:id="rId16"/>
    <sheet xmlns:r="http://schemas.openxmlformats.org/officeDocument/2006/relationships" name="📱 Market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R$ #.##0,00"/>
    <numFmt numFmtId="165" formatCode="0,0%"/>
    <numFmt numFmtId="166" formatCode="0,0x"/>
    <numFmt numFmtId="167" formatCode="DD/MM/YYYY"/>
    <numFmt numFmtId="168" formatCode="R$ #,##0.00"/>
    <numFmt numFmtId="169" formatCode="0.0%"/>
    <numFmt numFmtId="170" formatCode="R$ #,##0"/>
  </numFmts>
  <fonts count="91">
    <font>
      <name val="Calibri"/>
      <family val="2"/>
      <color theme="1"/>
      <sz val="11"/>
      <scheme val="minor"/>
    </font>
    <font>
      <name val="Arial"/>
      <b val="1"/>
      <color rgb="00E8B800"/>
      <sz val="28"/>
    </font>
    <font>
      <name val="Arial"/>
      <i val="1"/>
      <color rgb="00CCCCCC"/>
      <sz val="12"/>
    </font>
    <font>
      <name val="Arial"/>
      <sz val="20"/>
    </font>
    <font>
      <name val="Arial"/>
      <b val="1"/>
      <color rgb="00E8B800"/>
      <sz val="10"/>
    </font>
    <font>
      <name val="Arial"/>
      <color rgb="00CCCCCC"/>
      <sz val="8"/>
    </font>
    <font>
      <name val="Arial"/>
      <b val="1"/>
      <color rgb="00E8B800"/>
      <sz val="11"/>
    </font>
    <font>
      <name val="Arial"/>
      <b val="1"/>
      <color rgb="00C9A84C"/>
      <sz val="9"/>
    </font>
    <font>
      <name val="Arial"/>
      <color rgb="00F0F0F0"/>
      <sz val="9"/>
    </font>
    <font>
      <name val="Arial"/>
      <color rgb="00F5D76E"/>
      <sz val="9"/>
    </font>
    <font>
      <name val="Arial"/>
      <b val="1"/>
      <color rgb="00E8B800"/>
      <sz val="20"/>
    </font>
    <font>
      <name val="Arial"/>
      <color rgb="00CCCCCC"/>
      <sz val="10"/>
    </font>
    <font>
      <name val="Arial"/>
      <b val="1"/>
      <color rgb="0027AE60"/>
      <sz val="18"/>
    </font>
    <font>
      <name val="Arial"/>
      <b val="1"/>
      <color rgb="00E74C3C"/>
      <sz val="18"/>
    </font>
    <font>
      <name val="Arial"/>
      <b val="1"/>
      <color rgb="00E8B800"/>
      <sz val="18"/>
    </font>
    <font>
      <name val="Arial"/>
      <b val="1"/>
      <color rgb="003498DB"/>
      <sz val="18"/>
    </font>
    <font>
      <name val="Arial"/>
      <b val="1"/>
      <color rgb="00E91E8C"/>
      <sz val="18"/>
    </font>
    <font>
      <name val="Arial"/>
      <b val="1"/>
      <color rgb="00F5D76E"/>
      <sz val="16"/>
    </font>
    <font>
      <name val="Arial"/>
      <b val="1"/>
      <color rgb="002ECC71"/>
      <sz val="16"/>
    </font>
    <font>
      <name val="Arial"/>
      <b val="1"/>
      <color rgb="00E74C3C"/>
      <sz val="16"/>
    </font>
    <font>
      <name val="Arial"/>
      <b val="1"/>
      <color rgb="0027AE60"/>
      <sz val="16"/>
    </font>
    <font>
      <name val="Arial"/>
      <b val="1"/>
      <color rgb="003498DB"/>
      <sz val="16"/>
    </font>
    <font>
      <name val="Arial"/>
      <b val="1"/>
      <color rgb="00E8B800"/>
      <sz val="9"/>
    </font>
    <font>
      <name val="Arial"/>
      <b val="1"/>
      <color rgb="00F5D76E"/>
      <sz val="9"/>
    </font>
    <font>
      <name val="Arial"/>
      <color rgb="00CCCCCC"/>
      <sz val="9"/>
    </font>
    <font>
      <name val="Arial"/>
      <b val="1"/>
      <color rgb="00E8B800"/>
      <sz val="16"/>
    </font>
    <font>
      <name val="Arial"/>
      <b val="1"/>
      <color rgb="002ECC71"/>
      <sz val="9"/>
    </font>
    <font>
      <name val="Arial"/>
      <b val="1"/>
      <color rgb="002ECC71"/>
      <sz val="10"/>
    </font>
    <font>
      <name val="Arial"/>
      <b val="1"/>
      <color rgb="003498DB"/>
      <sz val="10"/>
    </font>
    <font>
      <name val="Arial"/>
      <b val="1"/>
      <color rgb="00E8B800"/>
      <sz val="14"/>
    </font>
    <font>
      <name val="Arial"/>
      <b val="1"/>
      <color rgb="002ECC71"/>
      <sz val="13"/>
    </font>
    <font>
      <name val="Arial"/>
      <b val="1"/>
      <color rgb="00E74C3C"/>
      <sz val="13"/>
    </font>
    <font>
      <name val="Arial"/>
      <b val="1"/>
      <color rgb="00E8B800"/>
      <sz val="13"/>
    </font>
    <font>
      <name val="Arial"/>
      <b val="1"/>
      <color rgb="003498DB"/>
      <sz val="13"/>
    </font>
    <font>
      <name val="Arial"/>
      <b val="1"/>
      <color rgb="00E67E22"/>
      <sz val="13"/>
    </font>
    <font>
      <name val="Arial"/>
      <b val="1"/>
      <color rgb="000D0D0D"/>
      <sz val="11"/>
    </font>
    <font>
      <name val="Arial"/>
      <color rgb="00F0F0F0"/>
      <sz val="10"/>
    </font>
    <font>
      <name val="Arial"/>
      <color rgb="00E67E22"/>
      <sz val="9"/>
    </font>
    <font>
      <name val="Arial"/>
      <color rgb="00E67E22"/>
      <sz val="10"/>
    </font>
    <font>
      <name val="Arial"/>
      <color rgb="00E91E8C"/>
      <sz val="9"/>
    </font>
    <font>
      <name val="Arial"/>
      <color rgb="00E91E8C"/>
      <sz val="10"/>
    </font>
    <font>
      <name val="Arial"/>
      <color rgb="003498DB"/>
      <sz val="9"/>
    </font>
    <font>
      <name val="Arial"/>
      <color rgb="003498DB"/>
      <sz val="10"/>
    </font>
    <font>
      <name val="Arial"/>
      <color rgb="00FFFFFF"/>
      <sz val="9"/>
    </font>
    <font>
      <name val="Arial"/>
      <color rgb="00FFFFFF"/>
      <sz val="10"/>
    </font>
    <font>
      <name val="Arial"/>
      <color rgb="002ECC71"/>
      <sz val="9"/>
    </font>
    <font>
      <name val="Arial"/>
      <color rgb="002ECC71"/>
      <sz val="10"/>
    </font>
    <font>
      <name val="Arial"/>
      <b val="1"/>
      <color rgb="00F5D76E"/>
      <sz val="10"/>
    </font>
    <font>
      <name val="Arial"/>
      <b val="1"/>
      <color rgb="00F5D76E"/>
      <sz val="13"/>
    </font>
    <font>
      <name val="Arial"/>
      <b val="1"/>
      <color rgb="0027AE60"/>
      <sz val="10"/>
    </font>
    <font>
      <name val="Arial"/>
      <b val="1"/>
      <color rgb="0027AE60"/>
      <sz val="13"/>
    </font>
    <font>
      <name val="Arial"/>
      <b val="1"/>
      <color rgb="002ECC71"/>
      <sz val="12"/>
    </font>
    <font>
      <name val="Arial"/>
      <b val="1"/>
      <color rgb="00FFFFFF"/>
      <sz val="18"/>
    </font>
    <font>
      <name val="Arial"/>
      <b val="1"/>
      <color rgb="00E67E22"/>
      <sz val="18"/>
    </font>
    <font>
      <name val="Arial"/>
      <b val="1"/>
      <color rgb="00E8B800"/>
      <sz val="12"/>
    </font>
    <font>
      <name val="Arial"/>
      <b val="1"/>
      <color rgb="00E67E22"/>
      <sz val="12"/>
    </font>
    <font>
      <name val="Arial"/>
      <b val="1"/>
      <color rgb="003498DB"/>
      <sz val="12"/>
    </font>
    <font>
      <name val="Arial"/>
      <b val="1"/>
      <color rgb="0027AE60"/>
      <sz val="12"/>
    </font>
    <font>
      <name val="Arial"/>
      <b val="1"/>
      <color rgb="00E67E22"/>
      <sz val="16"/>
    </font>
    <font>
      <name val="Arial"/>
      <color rgb="00E8B800"/>
      <sz val="9"/>
    </font>
    <font>
      <name val="Arial"/>
      <color rgb="00E5E7EB"/>
      <sz val="9"/>
    </font>
    <font>
      <name val="Arial"/>
      <b val="1"/>
      <color rgb="00F0C04A"/>
      <sz val="9"/>
    </font>
    <font>
      <name val="Arial"/>
      <b val="1"/>
      <color rgb="00F0C04A"/>
      <sz val="12"/>
    </font>
    <font>
      <name val="Arial"/>
      <b val="1"/>
      <color rgb="00F0C04A"/>
      <sz val="10"/>
    </font>
    <font>
      <name val="Arial"/>
      <b val="1"/>
      <color rgb="00F0C04A"/>
      <sz val="11"/>
    </font>
    <font>
      <name val="Arial"/>
      <color rgb="00E5E7EB"/>
      <sz val="10"/>
    </font>
    <font>
      <name val="Arial"/>
      <color rgb="00E5E7EB"/>
      <sz val="11"/>
    </font>
    <font>
      <name val="Arial"/>
      <b val="1"/>
      <color rgb="0022C55E"/>
      <sz val="10"/>
    </font>
    <font>
      <name val="Arial"/>
      <b val="1"/>
      <color rgb="0022C55E"/>
      <sz val="11"/>
    </font>
    <font>
      <name val="Arial"/>
      <b val="1"/>
      <color rgb="003B82F6"/>
      <sz val="10"/>
    </font>
    <font>
      <name val="Arial"/>
      <b val="1"/>
      <color rgb="003B82F6"/>
      <sz val="11"/>
    </font>
    <font>
      <name val="Arial"/>
      <b val="1"/>
      <color rgb="00E5E7EB"/>
      <sz val="10"/>
    </font>
    <font>
      <name val="Arial"/>
      <b val="1"/>
      <color rgb="00E5E7EB"/>
      <sz val="11"/>
    </font>
    <font>
      <name val="Arial"/>
      <color rgb="0022C55E"/>
      <sz val="9"/>
    </font>
    <font>
      <name val="Arial"/>
      <color rgb="00F0C04A"/>
      <sz val="9"/>
    </font>
    <font>
      <name val="Arial"/>
      <b val="1"/>
      <color rgb="00F0C04A"/>
      <sz val="13"/>
    </font>
    <font>
      <name val="Arial"/>
      <b val="1"/>
      <color rgb="00C9973A"/>
      <sz val="11"/>
    </font>
    <font>
      <name val="Arial"/>
      <b val="1"/>
      <color rgb="00F0C04A"/>
      <sz val="22"/>
    </font>
    <font>
      <name val="Arial"/>
      <b val="1"/>
      <color rgb="00EF4444"/>
      <sz val="9"/>
    </font>
    <font>
      <name val="Arial"/>
      <b val="1"/>
      <color rgb="00EF4444"/>
      <sz val="22"/>
    </font>
    <font>
      <name val="Arial"/>
      <b val="1"/>
      <color rgb="0022C55E"/>
      <sz val="9"/>
    </font>
    <font>
      <name val="Arial"/>
      <b val="1"/>
      <color rgb="0022C55E"/>
      <sz val="22"/>
    </font>
    <font>
      <name val="Arial"/>
      <b val="1"/>
      <color rgb="003B82F6"/>
      <sz val="9"/>
    </font>
    <font>
      <name val="Arial"/>
      <b val="1"/>
      <color rgb="003B82F6"/>
      <sz val="22"/>
    </font>
    <font>
      <name val="Arial"/>
      <b val="1"/>
      <color rgb="00A855F7"/>
      <sz val="9"/>
    </font>
    <font>
      <name val="Arial"/>
      <b val="1"/>
      <color rgb="00A855F7"/>
      <sz val="22"/>
    </font>
    <font>
      <name val="Arial"/>
      <b val="1"/>
      <color rgb="00C9973A"/>
      <sz val="9"/>
    </font>
    <font>
      <name val="Arial"/>
      <color rgb="0022C55E"/>
      <sz val="10"/>
    </font>
    <font>
      <name val="Arial"/>
      <color rgb="00F0C04A"/>
      <sz val="10"/>
    </font>
    <font>
      <name val="Arial"/>
      <color rgb="003B82F6"/>
      <sz val="10"/>
    </font>
    <font>
      <name val="Arial"/>
      <i val="1"/>
      <color rgb="009CA3AF"/>
      <sz val="9"/>
    </font>
  </fonts>
  <fills count="20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C9A84C"/>
      </patternFill>
    </fill>
    <fill>
      <patternFill patternType="solid">
        <fgColor rgb="002A2A2A"/>
      </patternFill>
    </fill>
    <fill>
      <patternFill patternType="solid">
        <fgColor rgb="001A1A1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3498DB"/>
      </patternFill>
    </fill>
    <fill>
      <patternFill patternType="solid">
        <fgColor rgb="00E91E8C"/>
      </patternFill>
    </fill>
    <fill>
      <patternFill patternType="solid">
        <fgColor rgb="00F5D76E"/>
      </patternFill>
    </fill>
    <fill>
      <patternFill patternType="solid">
        <fgColor rgb="002ECC71"/>
      </patternFill>
    </fill>
    <fill>
      <patternFill patternType="solid">
        <fgColor rgb="003D3D3D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1E1B4B"/>
      </patternFill>
    </fill>
    <fill>
      <patternFill patternType="solid">
        <fgColor rgb="001A1A2E"/>
      </patternFill>
    </fill>
    <fill>
      <patternFill patternType="solid">
        <fgColor rgb="000D0D1A"/>
      </patternFill>
    </fill>
    <fill>
      <patternFill patternType="solid">
        <fgColor rgb="00111827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164" fontId="12" fillId="4" borderId="0" applyAlignment="1" pivotButton="0" quotePrefix="0" xfId="0">
      <alignment horizontal="left" vertical="center"/>
    </xf>
    <xf numFmtId="164" fontId="13" fillId="4" borderId="0" applyAlignment="1" pivotButton="0" quotePrefix="0" xfId="0">
      <alignment horizontal="left" vertical="center"/>
    </xf>
    <xf numFmtId="164" fontId="14" fillId="4" borderId="0" applyAlignment="1" pivotButton="0" quotePrefix="0" xfId="0">
      <alignment horizontal="left" vertical="center"/>
    </xf>
    <xf numFmtId="1" fontId="15" fillId="4" borderId="0" applyAlignment="1" pivotButton="0" quotePrefix="0" xfId="0">
      <alignment horizontal="left" vertical="center"/>
    </xf>
    <xf numFmtId="1" fontId="16" fillId="4" borderId="0" applyAlignment="1" pivotButton="0" quotePrefix="0" xfId="0">
      <alignment horizontal="left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64" fontId="17" fillId="4" borderId="0" applyAlignment="1" pivotButton="0" quotePrefix="0" xfId="0">
      <alignment horizontal="left" vertical="center"/>
    </xf>
    <xf numFmtId="165" fontId="18" fillId="4" borderId="0" applyAlignment="1" pivotButton="0" quotePrefix="0" xfId="0">
      <alignment horizontal="left" vertical="center"/>
    </xf>
    <xf numFmtId="1" fontId="19" fillId="4" borderId="0" applyAlignment="1" pivotButton="0" quotePrefix="0" xfId="0">
      <alignment horizontal="left" vertical="center"/>
    </xf>
    <xf numFmtId="1" fontId="20" fillId="4" borderId="0" applyAlignment="1" pivotButton="0" quotePrefix="0" xfId="0">
      <alignment horizontal="left" vertical="center"/>
    </xf>
    <xf numFmtId="164" fontId="21" fillId="4" borderId="0" applyAlignment="1" pivotButton="0" quotePrefix="0" xfId="0">
      <alignment horizontal="left" vertical="center"/>
    </xf>
    <xf numFmtId="0" fontId="0" fillId="10" borderId="0" pivotButton="0" quotePrefix="0" xfId="0"/>
    <xf numFmtId="0" fontId="0" fillId="11" borderId="0" pivotButton="0" quotePrefix="0" xfId="0"/>
    <xf numFmtId="0" fontId="22" fillId="12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4" fontId="26" fillId="4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164" fontId="26" fillId="5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right" vertical="center"/>
    </xf>
    <xf numFmtId="164" fontId="27" fillId="12" borderId="0" pivotButton="0" quotePrefix="0" xfId="0"/>
    <xf numFmtId="164" fontId="4" fillId="12" borderId="0" pivotButton="0" quotePrefix="0" xfId="0"/>
    <xf numFmtId="164" fontId="28" fillId="12" borderId="0" pivotButton="0" quotePrefix="0" xfId="0"/>
    <xf numFmtId="0" fontId="29" fillId="2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164" fontId="30" fillId="4" borderId="0" applyAlignment="1" pivotButton="0" quotePrefix="0" xfId="0">
      <alignment horizontal="center" vertical="center"/>
    </xf>
    <xf numFmtId="164" fontId="31" fillId="4" borderId="0" applyAlignment="1" pivotButton="0" quotePrefix="0" xfId="0">
      <alignment horizontal="center" vertical="center"/>
    </xf>
    <xf numFmtId="164" fontId="32" fillId="4" borderId="0" applyAlignment="1" pivotButton="0" quotePrefix="0" xfId="0">
      <alignment horizontal="center" vertical="center"/>
    </xf>
    <xf numFmtId="165" fontId="33" fillId="4" borderId="0" applyAlignment="1" pivotButton="0" quotePrefix="0" xfId="0">
      <alignment horizontal="center" vertical="center"/>
    </xf>
    <xf numFmtId="164" fontId="34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3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4" fontId="36" fillId="4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/>
    </xf>
    <xf numFmtId="166" fontId="11" fillId="4" borderId="0" applyAlignment="1" pivotButton="0" quotePrefix="0" xfId="0">
      <alignment horizontal="right" vertical="center"/>
    </xf>
    <xf numFmtId="0" fontId="37" fillId="4" borderId="0" applyAlignment="1" pivotButton="0" quotePrefix="0" xfId="0">
      <alignment horizontal="left" vertical="center"/>
    </xf>
    <xf numFmtId="164" fontId="38" fillId="4" borderId="0" applyAlignment="1" pivotButton="0" quotePrefix="0" xfId="0">
      <alignment horizontal="right" vertical="center"/>
    </xf>
    <xf numFmtId="0" fontId="39" fillId="4" borderId="0" applyAlignment="1" pivotButton="0" quotePrefix="0" xfId="0">
      <alignment horizontal="left" vertical="center"/>
    </xf>
    <xf numFmtId="164" fontId="40" fillId="4" borderId="0" applyAlignment="1" pivotButton="0" quotePrefix="0" xfId="0">
      <alignment horizontal="right" vertical="center"/>
    </xf>
    <xf numFmtId="0" fontId="41" fillId="4" borderId="0" applyAlignment="1" pivotButton="0" quotePrefix="0" xfId="0">
      <alignment horizontal="left" vertical="center"/>
    </xf>
    <xf numFmtId="164" fontId="42" fillId="4" borderId="0" applyAlignment="1" pivotButton="0" quotePrefix="0" xfId="0">
      <alignment horizontal="right" vertical="center"/>
    </xf>
    <xf numFmtId="0" fontId="43" fillId="4" borderId="0" applyAlignment="1" pivotButton="0" quotePrefix="0" xfId="0">
      <alignment horizontal="left" vertical="center"/>
    </xf>
    <xf numFmtId="164" fontId="44" fillId="4" borderId="0" applyAlignment="1" pivotButton="0" quotePrefix="0" xfId="0">
      <alignment horizontal="right" vertical="center"/>
    </xf>
    <xf numFmtId="0" fontId="45" fillId="4" borderId="0" applyAlignment="1" pivotButton="0" quotePrefix="0" xfId="0">
      <alignment horizontal="left" vertical="center"/>
    </xf>
    <xf numFmtId="164" fontId="46" fillId="4" borderId="0" applyAlignment="1" pivotButton="0" quotePrefix="0" xfId="0">
      <alignment horizontal="right" vertical="center"/>
    </xf>
    <xf numFmtId="0" fontId="4" fillId="12" borderId="0" applyAlignment="1" pivotButton="0" quotePrefix="0" xfId="0">
      <alignment horizontal="left" vertical="center"/>
    </xf>
    <xf numFmtId="164" fontId="32" fillId="12" borderId="0" applyAlignment="1" pivotButton="0" quotePrefix="0" xfId="0">
      <alignment horizontal="right" vertical="center"/>
    </xf>
    <xf numFmtId="0" fontId="47" fillId="12" borderId="0" applyAlignment="1" pivotButton="0" quotePrefix="0" xfId="0">
      <alignment horizontal="left" vertical="center"/>
    </xf>
    <xf numFmtId="164" fontId="48" fillId="12" borderId="0" applyAlignment="1" pivotButton="0" quotePrefix="0" xfId="0">
      <alignment horizontal="right" vertical="center"/>
    </xf>
    <xf numFmtId="0" fontId="27" fillId="12" borderId="0" applyAlignment="1" pivotButton="0" quotePrefix="0" xfId="0">
      <alignment horizontal="left" vertical="center"/>
    </xf>
    <xf numFmtId="164" fontId="30" fillId="12" borderId="0" applyAlignment="1" pivotButton="0" quotePrefix="0" xfId="0">
      <alignment horizontal="right" vertical="center"/>
    </xf>
    <xf numFmtId="0" fontId="49" fillId="12" borderId="0" applyAlignment="1" pivotButton="0" quotePrefix="0" xfId="0">
      <alignment horizontal="left" vertical="center"/>
    </xf>
    <xf numFmtId="164" fontId="50" fillId="12" borderId="0" applyAlignment="1" pivotButton="0" quotePrefix="0" xfId="0">
      <alignment horizontal="right" vertical="center"/>
    </xf>
    <xf numFmtId="164" fontId="51" fillId="12" borderId="0" applyAlignment="1" pivotButton="0" quotePrefix="0" xfId="0">
      <alignment horizontal="center" vertical="center"/>
    </xf>
    <xf numFmtId="0" fontId="52" fillId="4" borderId="0" applyAlignment="1" pivotButton="0" quotePrefix="0" xfId="0">
      <alignment horizontal="center" vertical="center"/>
    </xf>
    <xf numFmtId="0" fontId="53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164" fontId="35" fillId="3" borderId="0" applyAlignment="1" pivotButton="0" quotePrefix="0" xfId="0">
      <alignment horizontal="center" vertical="center"/>
    </xf>
    <xf numFmtId="9" fontId="35" fillId="3" borderId="0" applyAlignment="1" pivotButton="0" quotePrefix="0" xfId="0">
      <alignment horizontal="center" vertical="center"/>
    </xf>
    <xf numFmtId="0" fontId="54" fillId="4" borderId="0" applyAlignment="1" pivotButton="0" quotePrefix="0" xfId="0">
      <alignment horizontal="center" vertical="center"/>
    </xf>
    <xf numFmtId="0" fontId="55" fillId="4" borderId="0" applyAlignment="1" pivotButton="0" quotePrefix="0" xfId="0">
      <alignment horizontal="center" vertical="center"/>
    </xf>
    <xf numFmtId="0" fontId="56" fillId="4" borderId="0" applyAlignment="1" pivotButton="0" quotePrefix="0" xfId="0">
      <alignment horizontal="center" vertical="center"/>
    </xf>
    <xf numFmtId="164" fontId="51" fillId="4" borderId="0" applyAlignment="1" pivotButton="0" quotePrefix="0" xfId="0">
      <alignment horizontal="center" vertical="center"/>
    </xf>
    <xf numFmtId="164" fontId="57" fillId="4" borderId="0" applyAlignment="1" pivotButton="0" quotePrefix="0" xfId="0">
      <alignment horizontal="center" vertical="center"/>
    </xf>
    <xf numFmtId="9" fontId="8" fillId="4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164" fontId="25" fillId="4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167" fontId="8" fillId="5" borderId="0" applyAlignment="1" pivotButton="0" quotePrefix="0" xfId="0">
      <alignment horizontal="center" vertical="center"/>
    </xf>
    <xf numFmtId="9" fontId="59" fillId="4" borderId="0" applyAlignment="1" pivotButton="0" quotePrefix="0" xfId="0">
      <alignment horizontal="center" vertical="center"/>
    </xf>
    <xf numFmtId="167" fontId="0" fillId="2" borderId="0" pivotButton="0" quotePrefix="0" xfId="0"/>
    <xf numFmtId="168" fontId="23" fillId="12" borderId="0" applyAlignment="1" pivotButton="0" quotePrefix="0" xfId="0">
      <alignment horizontal="center" vertical="center" wrapText="1"/>
    </xf>
    <xf numFmtId="168" fontId="60" fillId="12" borderId="0" applyAlignment="1" pivotButton="0" quotePrefix="0" xfId="0">
      <alignment horizontal="center" vertical="center"/>
    </xf>
    <xf numFmtId="168" fontId="8" fillId="4" borderId="0" applyAlignment="1" pivotButton="0" quotePrefix="0" xfId="0">
      <alignment horizontal="center" vertical="center"/>
    </xf>
    <xf numFmtId="168" fontId="60" fillId="4" borderId="0" applyAlignment="1" pivotButton="0" quotePrefix="0" xfId="0">
      <alignment horizontal="center" vertical="center"/>
    </xf>
    <xf numFmtId="168" fontId="8" fillId="5" borderId="0" applyAlignment="1" pivotButton="0" quotePrefix="0" xfId="0">
      <alignment horizontal="center" vertical="center"/>
    </xf>
    <xf numFmtId="168" fontId="60" fillId="5" borderId="0" applyAlignment="1" pivotButton="0" quotePrefix="0" xfId="0">
      <alignment horizontal="center" vertical="center"/>
    </xf>
    <xf numFmtId="168" fontId="0" fillId="2" borderId="0" pivotButton="0" quotePrefix="0" xfId="0"/>
    <xf numFmtId="168" fontId="60" fillId="2" borderId="0" applyAlignment="1" pivotButton="0" quotePrefix="0" xfId="0">
      <alignment horizontal="center" vertical="center"/>
    </xf>
    <xf numFmtId="168" fontId="27" fillId="12" borderId="0" pivotButton="0" quotePrefix="0" xfId="0"/>
    <xf numFmtId="168" fontId="4" fillId="12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8" fontId="60" fillId="0" borderId="0" applyAlignment="1" pivotButton="0" quotePrefix="0" xfId="0">
      <alignment horizontal="center" vertical="center"/>
    </xf>
    <xf numFmtId="0" fontId="61" fillId="15" borderId="0" applyAlignment="1" pivotButton="0" quotePrefix="0" xfId="0">
      <alignment horizontal="center" vertical="center"/>
    </xf>
    <xf numFmtId="167" fontId="23" fillId="12" borderId="0" applyAlignment="1" pivotButton="0" quotePrefix="0" xfId="0">
      <alignment horizontal="center" vertical="center" wrapText="1"/>
    </xf>
    <xf numFmtId="0" fontId="60" fillId="2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2" fillId="15" borderId="0" applyAlignment="1" pivotButton="0" quotePrefix="0" xfId="0">
      <alignment horizontal="center" vertical="center"/>
    </xf>
    <xf numFmtId="0" fontId="63" fillId="15" borderId="0" applyAlignment="1" pivotButton="0" quotePrefix="0" xfId="0">
      <alignment horizontal="left" vertical="center"/>
    </xf>
    <xf numFmtId="168" fontId="64" fillId="15" borderId="0" applyAlignment="1" pivotButton="0" quotePrefix="0" xfId="0">
      <alignment horizontal="center" vertical="center"/>
    </xf>
    <xf numFmtId="0" fontId="65" fillId="16" borderId="0" applyAlignment="1" pivotButton="0" quotePrefix="0" xfId="0">
      <alignment horizontal="left" vertical="center"/>
    </xf>
    <xf numFmtId="168" fontId="66" fillId="16" borderId="0" applyAlignment="1" pivotButton="0" quotePrefix="0" xfId="0">
      <alignment horizontal="center" vertical="center"/>
    </xf>
    <xf numFmtId="0" fontId="67" fillId="15" borderId="0" applyAlignment="1" pivotButton="0" quotePrefix="0" xfId="0">
      <alignment horizontal="left" vertical="center"/>
    </xf>
    <xf numFmtId="168" fontId="68" fillId="15" borderId="0" applyAlignment="1" pivotButton="0" quotePrefix="0" xfId="0">
      <alignment horizontal="center" vertical="center"/>
    </xf>
    <xf numFmtId="0" fontId="69" fillId="15" borderId="0" applyAlignment="1" pivotButton="0" quotePrefix="0" xfId="0">
      <alignment horizontal="left" vertical="center"/>
    </xf>
    <xf numFmtId="168" fontId="70" fillId="15" borderId="0" applyAlignment="1" pivotButton="0" quotePrefix="0" xfId="0">
      <alignment horizontal="center" vertical="center"/>
    </xf>
    <xf numFmtId="0" fontId="63" fillId="16" borderId="0" applyAlignment="1" pivotButton="0" quotePrefix="0" xfId="0">
      <alignment horizontal="left" vertical="center"/>
    </xf>
    <xf numFmtId="168" fontId="64" fillId="16" borderId="0" applyAlignment="1" pivotButton="0" quotePrefix="0" xfId="0">
      <alignment horizontal="center" vertical="center"/>
    </xf>
    <xf numFmtId="0" fontId="71" fillId="16" borderId="0" applyAlignment="1" pivotButton="0" quotePrefix="0" xfId="0">
      <alignment horizontal="left" vertical="center"/>
    </xf>
    <xf numFmtId="169" fontId="72" fillId="16" borderId="0" applyAlignment="1" pivotButton="0" quotePrefix="0" xfId="0">
      <alignment horizontal="center" vertical="center"/>
    </xf>
    <xf numFmtId="0" fontId="60" fillId="17" borderId="0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73" fillId="16" borderId="0" applyAlignment="1" pivotButton="0" quotePrefix="0" xfId="0">
      <alignment horizontal="center" vertical="center"/>
    </xf>
    <xf numFmtId="0" fontId="74" fillId="15" borderId="0" applyAlignment="1" pivotButton="0" quotePrefix="0" xfId="0">
      <alignment horizontal="center" vertical="center"/>
    </xf>
    <xf numFmtId="168" fontId="51" fillId="12" borderId="0" applyAlignment="1" pivotButton="0" quotePrefix="0" xfId="0">
      <alignment horizontal="center" vertical="center"/>
    </xf>
    <xf numFmtId="3" fontId="60" fillId="4" borderId="0" applyAlignment="1" pivotButton="0" quotePrefix="0" xfId="0">
      <alignment horizontal="center" vertical="center"/>
    </xf>
    <xf numFmtId="170" fontId="60" fillId="17" borderId="0" applyAlignment="1" pivotButton="0" quotePrefix="0" xfId="0">
      <alignment horizontal="center" vertical="center"/>
    </xf>
    <xf numFmtId="170" fontId="71" fillId="15" borderId="0" applyAlignment="1" pivotButton="0" quotePrefix="0" xfId="0">
      <alignment horizontal="center" vertical="center"/>
    </xf>
    <xf numFmtId="169" fontId="61" fillId="17" borderId="0" applyAlignment="1" pivotButton="0" quotePrefix="0" xfId="0">
      <alignment horizontal="center" vertical="center"/>
    </xf>
    <xf numFmtId="169" fontId="63" fillId="15" borderId="0" applyAlignment="1" pivotButton="0" quotePrefix="0" xfId="0">
      <alignment horizontal="center" vertical="center"/>
    </xf>
    <xf numFmtId="3" fontId="60" fillId="17" borderId="0" applyAlignment="1" pivotButton="0" quotePrefix="0" xfId="0">
      <alignment horizontal="center" vertical="center"/>
    </xf>
    <xf numFmtId="3" fontId="71" fillId="15" borderId="0" applyAlignment="1" pivotButton="0" quotePrefix="0" xfId="0">
      <alignment horizontal="center" vertical="center"/>
    </xf>
    <xf numFmtId="170" fontId="61" fillId="17" borderId="0" applyAlignment="1" pivotButton="0" quotePrefix="0" xfId="0">
      <alignment horizontal="center" vertical="center"/>
    </xf>
    <xf numFmtId="3" fontId="63" fillId="15" borderId="0" applyAlignment="1" pivotButton="0" quotePrefix="0" xfId="0">
      <alignment horizontal="center" vertical="center"/>
    </xf>
    <xf numFmtId="0" fontId="75" fillId="17" borderId="0" applyAlignment="1" pivotButton="0" quotePrefix="0" xfId="0">
      <alignment horizontal="left" vertical="center"/>
    </xf>
    <xf numFmtId="0" fontId="60" fillId="18" borderId="0" applyAlignment="1" pivotButton="0" quotePrefix="0" xfId="0">
      <alignment horizontal="center" vertical="center"/>
    </xf>
    <xf numFmtId="167" fontId="60" fillId="18" borderId="0" applyAlignment="1" pivotButton="0" quotePrefix="0" xfId="0">
      <alignment horizontal="center" vertical="center"/>
    </xf>
    <xf numFmtId="168" fontId="60" fillId="18" borderId="0" applyAlignment="1" pivotButton="0" quotePrefix="0" xfId="0">
      <alignment horizontal="center" vertical="center"/>
    </xf>
    <xf numFmtId="0" fontId="60" fillId="19" borderId="0" applyAlignment="1" pivotButton="0" quotePrefix="0" xfId="0">
      <alignment horizontal="center" vertical="center"/>
    </xf>
    <xf numFmtId="167" fontId="60" fillId="19" borderId="0" applyAlignment="1" pivotButton="0" quotePrefix="0" xfId="0">
      <alignment horizontal="center" vertical="center"/>
    </xf>
    <xf numFmtId="168" fontId="60" fillId="19" borderId="0" applyAlignment="1" pivotButton="0" quotePrefix="0" xfId="0">
      <alignment horizontal="center" vertical="center"/>
    </xf>
    <xf numFmtId="0" fontId="76" fillId="16" borderId="0" applyAlignment="1" pivotButton="0" quotePrefix="0" xfId="0">
      <alignment horizontal="right" vertical="center"/>
    </xf>
    <xf numFmtId="0" fontId="64" fillId="15" borderId="0" applyAlignment="1" pivotButton="0" quotePrefix="0" xfId="0">
      <alignment horizontal="center" vertical="center"/>
    </xf>
    <xf numFmtId="0" fontId="78" fillId="15" borderId="0" applyAlignment="1" pivotButton="0" quotePrefix="0" xfId="0">
      <alignment horizontal="center" vertical="center"/>
    </xf>
    <xf numFmtId="0" fontId="80" fillId="15" borderId="0" applyAlignment="1" pivotButton="0" quotePrefix="0" xfId="0">
      <alignment horizontal="center" vertical="center"/>
    </xf>
    <xf numFmtId="0" fontId="82" fillId="15" borderId="0" applyAlignment="1" pivotButton="0" quotePrefix="0" xfId="0">
      <alignment horizontal="center" vertical="center"/>
    </xf>
    <xf numFmtId="0" fontId="84" fillId="15" borderId="0" applyAlignment="1" pivotButton="0" quotePrefix="0" xfId="0">
      <alignment horizontal="center" vertical="center"/>
    </xf>
    <xf numFmtId="170" fontId="77" fillId="16" borderId="0" applyAlignment="1" pivotButton="0" quotePrefix="0" xfId="0">
      <alignment horizontal="center" vertical="center"/>
    </xf>
    <xf numFmtId="170" fontId="79" fillId="16" borderId="0" applyAlignment="1" pivotButton="0" quotePrefix="0" xfId="0">
      <alignment horizontal="center" vertical="center"/>
    </xf>
    <xf numFmtId="170" fontId="81" fillId="16" borderId="0" applyAlignment="1" pivotButton="0" quotePrefix="0" xfId="0">
      <alignment horizontal="center" vertical="center"/>
    </xf>
    <xf numFmtId="3" fontId="83" fillId="16" borderId="0" applyAlignment="1" pivotButton="0" quotePrefix="0" xfId="0">
      <alignment horizontal="center" vertical="center"/>
    </xf>
    <xf numFmtId="3" fontId="85" fillId="16" borderId="0" applyAlignment="1" pivotButton="0" quotePrefix="0" xfId="0">
      <alignment horizontal="center" vertical="center"/>
    </xf>
    <xf numFmtId="0" fontId="70" fillId="15" borderId="0" applyAlignment="1" pivotButton="0" quotePrefix="0" xfId="0">
      <alignment horizontal="center" vertical="center"/>
    </xf>
    <xf numFmtId="0" fontId="86" fillId="16" borderId="0" applyAlignment="1" pivotButton="0" quotePrefix="0" xfId="0">
      <alignment horizontal="right" vertical="center"/>
    </xf>
    <xf numFmtId="170" fontId="62" fillId="15" borderId="0" applyAlignment="1" pivotButton="0" quotePrefix="0" xfId="0">
      <alignment horizontal="center" vertical="center"/>
    </xf>
    <xf numFmtId="0" fontId="63" fillId="18" borderId="0" applyAlignment="1" pivotButton="0" quotePrefix="0" xfId="0">
      <alignment horizontal="left" vertical="center"/>
    </xf>
    <xf numFmtId="170" fontId="65" fillId="18" borderId="0" applyAlignment="1" pivotButton="0" quotePrefix="0" xfId="0">
      <alignment horizontal="center" vertical="center"/>
    </xf>
    <xf numFmtId="170" fontId="87" fillId="18" borderId="0" applyAlignment="1" pivotButton="0" quotePrefix="0" xfId="0">
      <alignment horizontal="center" vertical="center"/>
    </xf>
    <xf numFmtId="170" fontId="88" fillId="18" borderId="0" applyAlignment="1" pivotButton="0" quotePrefix="0" xfId="0">
      <alignment horizontal="center" vertical="center"/>
    </xf>
    <xf numFmtId="170" fontId="89" fillId="18" borderId="0" applyAlignment="1" pivotButton="0" quotePrefix="0" xfId="0">
      <alignment horizontal="center" vertical="center"/>
    </xf>
    <xf numFmtId="0" fontId="63" fillId="19" borderId="0" applyAlignment="1" pivotButton="0" quotePrefix="0" xfId="0">
      <alignment horizontal="left" vertical="center"/>
    </xf>
    <xf numFmtId="170" fontId="65" fillId="19" borderId="0" applyAlignment="1" pivotButton="0" quotePrefix="0" xfId="0">
      <alignment horizontal="center" vertical="center"/>
    </xf>
    <xf numFmtId="170" fontId="87" fillId="19" borderId="0" applyAlignment="1" pivotButton="0" quotePrefix="0" xfId="0">
      <alignment horizontal="center" vertical="center"/>
    </xf>
    <xf numFmtId="170" fontId="88" fillId="19" borderId="0" applyAlignment="1" pivotButton="0" quotePrefix="0" xfId="0">
      <alignment horizontal="center" vertical="center"/>
    </xf>
    <xf numFmtId="170" fontId="89" fillId="19" borderId="0" applyAlignment="1" pivotButton="0" quotePrefix="0" xfId="0">
      <alignment horizontal="center" vertical="center"/>
    </xf>
    <xf numFmtId="0" fontId="90" fillId="17" borderId="0" applyAlignment="1" pivotButton="0" quotePrefix="0" xfId="0">
      <alignment horizontal="left" vertical="center"/>
    </xf>
    <xf numFmtId="3" fontId="0" fillId="0" borderId="0" pivotButton="0" quotePrefix="0" xfId="0"/>
    <xf numFmtId="169" fontId="60" fillId="0" borderId="0" applyAlignment="1" pivotButton="0" quotePrefix="0" xfId="0">
      <alignment horizontal="center" vertical="center"/>
    </xf>
    <xf numFmtId="0" fontId="63" fillId="15" borderId="0" applyAlignment="1" pivotButton="0" quotePrefix="0" xfId="0">
      <alignment horizontal="center" vertical="center"/>
    </xf>
    <xf numFmtId="168" fontId="63" fillId="15" borderId="0" pivotButton="0" quotePrefix="0" xfId="0"/>
    <xf numFmtId="3" fontId="63" fillId="15" borderId="0" pivotButton="0" quotePrefix="0" xfId="0"/>
    <xf numFmtId="169" fontId="67" fillId="15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b val="1"/>
        <color rgb="00FFFFFF"/>
        <sz val="8"/>
      </font>
      <fill>
        <patternFill>
          <fgColor rgb="00166534"/>
        </patternFill>
      </fill>
    </dxf>
    <dxf>
      <font>
        <name val="Arial"/>
        <b val="1"/>
        <color rgb="00FFFFFF"/>
        <sz val="8"/>
      </font>
      <fill>
        <patternFill>
          <fgColor rgb="001D4ED8"/>
        </patternFill>
      </fill>
    </dxf>
    <dxf>
      <font>
        <name val="Arial"/>
        <b val="1"/>
        <color rgb="00FFFFFF"/>
        <sz val="8"/>
      </font>
      <fill>
        <patternFill>
          <fgColor rgb="00991B1B"/>
        </patternFill>
      </fill>
    </dxf>
    <dxf>
      <font>
        <name val="Arial"/>
        <b val="1"/>
        <color rgb="00FFFFFF"/>
        <sz val="8"/>
      </font>
      <fill>
        <patternFill>
          <fgColor rgb="007C2D12"/>
        </patternFill>
      </fill>
    </dxf>
    <dxf>
      <font>
        <name val="Arial"/>
        <b val="1"/>
        <color rgb="00FFFFFF"/>
        <sz val="8"/>
      </font>
      <fill>
        <patternFill>
          <fgColor rgb="0092400E"/>
        </patternFill>
      </fill>
    </dxf>
    <dxf>
      <font>
        <name val="Arial"/>
        <b val="1"/>
        <color rgb="00FFFFFF"/>
        <sz val="8"/>
      </font>
      <fill>
        <patternFill>
          <fgColor rgb="00C9973A"/>
        </patternFill>
      </fill>
    </dxf>
    <dxf>
      <font>
        <name val="Arial"/>
        <b val="1"/>
        <color rgb="00FFFFFF"/>
        <sz val="8"/>
      </font>
      <fill>
        <patternFill>
          <fgColor rgb="00374151"/>
        </patternFill>
      </fill>
    </dxf>
    <dxf>
      <font>
        <name val="Arial"/>
        <b val="1"/>
        <color rgb="00FFFFFF"/>
        <sz val="8"/>
      </font>
      <fill>
        <patternFill>
          <fgColor rgb="00DC2626"/>
        </patternFill>
      </fill>
    </dxf>
    <dxf>
      <font>
        <name val="Arial"/>
        <b val="1"/>
        <color rgb="00FFFFFF"/>
        <sz val="8"/>
      </font>
      <fill>
        <patternFill>
          <fgColor rgb="001E40A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50" customHeight="1">
      <c r="A2" s="1" t="n"/>
      <c r="B2" s="2" t="inlineStr">
        <is>
          <t>CENTRAL TATTOO</t>
        </is>
      </c>
      <c r="S2" s="1" t="n"/>
    </row>
    <row r="3" ht="25" customHeight="1">
      <c r="A3" s="1" t="n"/>
      <c r="B3" s="3" t="inlineStr">
        <is>
          <t>SISTEMA COMPLETO DE GESTÃO PARA ESTÚDIOS DE TATUAGEM</t>
        </is>
      </c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" customHeight="1">
      <c r="A5" s="1" t="n"/>
      <c r="B5" s="4" t="n"/>
      <c r="S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35" customHeight="1">
      <c r="A7" s="1" t="n"/>
      <c r="B7" s="5" t="inlineStr">
        <is>
          <t>📊</t>
        </is>
      </c>
      <c r="D7" s="5" t="inlineStr">
        <is>
          <t>📅</t>
        </is>
      </c>
      <c r="F7" s="5" t="inlineStr">
        <is>
          <t>👥</t>
        </is>
      </c>
      <c r="H7" s="5" t="inlineStr">
        <is>
          <t>💰</t>
        </is>
      </c>
      <c r="J7" s="5" t="inlineStr">
        <is>
          <t>🧮</t>
        </is>
      </c>
      <c r="L7" s="5" t="inlineStr">
        <is>
          <t>📦</t>
        </is>
      </c>
      <c r="N7" s="5" t="inlineStr">
        <is>
          <t>🎯</t>
        </is>
      </c>
      <c r="P7" s="5" t="inlineStr">
        <is>
          <t>📈</t>
        </is>
      </c>
      <c r="R7" s="1" t="n"/>
      <c r="S7" s="1" t="n"/>
    </row>
    <row r="8" ht="20" customHeight="1">
      <c r="A8" s="1" t="n"/>
      <c r="B8" s="6" t="inlineStr">
        <is>
          <t>DASHBOARD</t>
        </is>
      </c>
      <c r="D8" s="6" t="inlineStr">
        <is>
          <t>AGENDA</t>
        </is>
      </c>
      <c r="F8" s="6" t="inlineStr">
        <is>
          <t>CLIENTES</t>
        </is>
      </c>
      <c r="H8" s="6" t="inlineStr">
        <is>
          <t>FINANCEIRO</t>
        </is>
      </c>
      <c r="J8" s="6" t="inlineStr">
        <is>
          <t>CALCULADORA</t>
        </is>
      </c>
      <c r="L8" s="6" t="inlineStr">
        <is>
          <t>ESTOQUE</t>
        </is>
      </c>
      <c r="N8" s="6" t="inlineStr">
        <is>
          <t>LEADS</t>
        </is>
      </c>
      <c r="P8" s="6" t="inlineStr">
        <is>
          <t>METAS</t>
        </is>
      </c>
      <c r="R8" s="1" t="n"/>
      <c r="S8" s="1" t="n"/>
    </row>
    <row r="9" ht="28" customHeight="1">
      <c r="A9" s="1" t="n"/>
      <c r="B9" s="7" t="inlineStr">
        <is>
          <t>Visão geral
do negócio</t>
        </is>
      </c>
      <c r="D9" s="7" t="inlineStr">
        <is>
          <t>Agendamentos
e sessões</t>
        </is>
      </c>
      <c r="F9" s="7" t="inlineStr">
        <is>
          <t>CRM e
fidelização</t>
        </is>
      </c>
      <c r="H9" s="7" t="inlineStr">
        <is>
          <t>Receitas
e despesas</t>
        </is>
      </c>
      <c r="J9" s="7" t="inlineStr">
        <is>
          <t>Precificação
premium</t>
        </is>
      </c>
      <c r="L9" s="7" t="inlineStr">
        <is>
          <t>Materiais
e reposição</t>
        </is>
      </c>
      <c r="N9" s="7" t="inlineStr">
        <is>
          <t>Pipeline
de vendas</t>
        </is>
      </c>
      <c r="P9" s="7" t="inlineStr">
        <is>
          <t>Objetivos
e previsões</t>
        </is>
      </c>
      <c r="R9" s="1" t="n"/>
      <c r="S9" s="1" t="n"/>
    </row>
    <row r="10" ht="3" customHeight="1">
      <c r="A10" s="1" t="n"/>
      <c r="B10" s="4" t="n"/>
      <c r="D10" s="4" t="n"/>
      <c r="F10" s="4" t="n"/>
      <c r="H10" s="4" t="n"/>
      <c r="J10" s="4" t="n"/>
      <c r="L10" s="4" t="n"/>
      <c r="N10" s="4" t="n"/>
      <c r="P10" s="4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8" customHeight="1">
      <c r="A12" s="1" t="n"/>
      <c r="B12" s="8" t="inlineStr">
        <is>
          <t>✅  COMO USAR O SISTEMA</t>
        </is>
      </c>
      <c r="S12" s="1" t="n"/>
    </row>
    <row r="13" ht="20" customHeight="1">
      <c r="A13" s="1" t="n"/>
      <c r="B13" s="9" t="inlineStr">
        <is>
          <t>1.</t>
        </is>
      </c>
      <c r="D13" s="10" t="inlineStr">
        <is>
          <t>Comece preenchendo seus dados na aba FINANCEIRO → Configure receitas e despesas mensais</t>
        </is>
      </c>
      <c r="S13" s="1" t="n"/>
    </row>
    <row r="14" ht="20" customHeight="1">
      <c r="A14" s="1" t="n"/>
      <c r="B14" s="9" t="inlineStr">
        <is>
          <t>2.</t>
        </is>
      </c>
      <c r="D14" s="10" t="inlineStr">
        <is>
          <t>Cadastre seus clientes na aba CLIENTES → Preencha nome, contato e histórico de tattoos</t>
        </is>
      </c>
      <c r="S14" s="1" t="n"/>
    </row>
    <row r="15" ht="20" customHeight="1">
      <c r="A15" s="1" t="n"/>
      <c r="B15" s="9" t="inlineStr">
        <is>
          <t>3.</t>
        </is>
      </c>
      <c r="D15" s="10" t="inlineStr">
        <is>
          <t>Use a CALCULADORA para precificar corretamente cada projeto sem perder margem</t>
        </is>
      </c>
      <c r="S15" s="1" t="n"/>
    </row>
    <row r="16" ht="20" customHeight="1">
      <c r="A16" s="1" t="n"/>
      <c r="B16" s="9" t="inlineStr">
        <is>
          <t>4.</t>
        </is>
      </c>
      <c r="D16" s="10" t="inlineStr">
        <is>
          <t>Acompanhe a AGENDA diariamente para controlar sessões e evitar conflitos</t>
        </is>
      </c>
      <c r="S16" s="1" t="n"/>
    </row>
    <row r="17" ht="20" customHeight="1">
      <c r="A17" s="1" t="n"/>
      <c r="B17" s="9" t="inlineStr">
        <is>
          <t>5.</t>
        </is>
      </c>
      <c r="D17" s="10" t="inlineStr">
        <is>
          <t>Registre todos os LEADS no pipeline para nenhuma oportunidade se perder</t>
        </is>
      </c>
      <c r="S17" s="1" t="n"/>
    </row>
    <row r="18" ht="20" customHeight="1">
      <c r="A18" s="1" t="n"/>
      <c r="B18" s="9" t="inlineStr">
        <is>
          <t>6.</t>
        </is>
      </c>
      <c r="D18" s="10" t="inlineStr">
        <is>
          <t>Monitore o DASHBOARD semanalmente para tomar decisões com dados reais</t>
        </is>
      </c>
      <c r="S18" s="1" t="n"/>
    </row>
    <row r="19" ht="20" customHeight="1">
      <c r="A19" s="1" t="n"/>
      <c r="B19" s="9" t="inlineStr">
        <is>
          <t>7.</t>
        </is>
      </c>
      <c r="D19" s="10" t="inlineStr">
        <is>
          <t>Use as METAS para definir objetivos mensais e acompanhar o crescimento</t>
        </is>
      </c>
      <c r="S19" s="1" t="n"/>
    </row>
    <row r="20" ht="20" customHeight="1">
      <c r="A20" s="1" t="n"/>
      <c r="B20" s="9" t="inlineStr">
        <is>
          <t>8.</t>
        </is>
      </c>
      <c r="D20" s="10" t="inlineStr">
        <is>
          <t>Controle o ESTOQUE para evitar falta de material durante as sessões</t>
        </is>
      </c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25" customHeight="1">
      <c r="A22" s="1" t="n"/>
      <c r="B22" s="11" t="inlineStr">
        <is>
          <t>💎  Central Tattoo — Sistema Premium de Gestão para Tatuadores  |  Versão 2026</t>
        </is>
      </c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mergeCells count="53">
    <mergeCell ref="B16:C16"/>
    <mergeCell ref="D10:E10"/>
    <mergeCell ref="L7:M7"/>
    <mergeCell ref="B7:C7"/>
    <mergeCell ref="F10:G10"/>
    <mergeCell ref="N7:O7"/>
    <mergeCell ref="H10:I10"/>
    <mergeCell ref="D13:R13"/>
    <mergeCell ref="J10:K10"/>
    <mergeCell ref="P10:Q10"/>
    <mergeCell ref="B3:R3"/>
    <mergeCell ref="B18:C18"/>
    <mergeCell ref="H9:I9"/>
    <mergeCell ref="D17:R17"/>
    <mergeCell ref="F7:G7"/>
    <mergeCell ref="J9:K9"/>
    <mergeCell ref="P9:Q9"/>
    <mergeCell ref="B22:R22"/>
    <mergeCell ref="D16:R16"/>
    <mergeCell ref="B12:R12"/>
    <mergeCell ref="P8:Q8"/>
    <mergeCell ref="B2:R2"/>
    <mergeCell ref="B14:C14"/>
    <mergeCell ref="B17:C17"/>
    <mergeCell ref="L8:M8"/>
    <mergeCell ref="B8:C8"/>
    <mergeCell ref="D18:R18"/>
    <mergeCell ref="N8:O8"/>
    <mergeCell ref="F8:G8"/>
    <mergeCell ref="B13:C13"/>
    <mergeCell ref="D15:R15"/>
    <mergeCell ref="D7:E7"/>
    <mergeCell ref="P7:Q7"/>
    <mergeCell ref="H7:I7"/>
    <mergeCell ref="B19:C19"/>
    <mergeCell ref="L10:M10"/>
    <mergeCell ref="B10:C10"/>
    <mergeCell ref="J7:K7"/>
    <mergeCell ref="N10:O10"/>
    <mergeCell ref="D14:R14"/>
    <mergeCell ref="B9:C9"/>
    <mergeCell ref="D9:E9"/>
    <mergeCell ref="D20:R20"/>
    <mergeCell ref="F9:G9"/>
    <mergeCell ref="L9:M9"/>
    <mergeCell ref="D8:E8"/>
    <mergeCell ref="N9:O9"/>
    <mergeCell ref="B15:C15"/>
    <mergeCell ref="D19:R19"/>
    <mergeCell ref="B20:C20"/>
    <mergeCell ref="H8:I8"/>
    <mergeCell ref="B5:R5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B800"/>
    <outlinePr summaryBelow="1" summaryRight="1"/>
    <pageSetUpPr/>
  </sheetPr>
  <dimension ref="A1:Y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0" customHeight="1">
      <c r="A2" s="1" t="n"/>
      <c r="B2" s="12" t="inlineStr">
        <is>
          <t>📊  DASHBOARD — CENTRAL TATTOO</t>
        </is>
      </c>
    </row>
    <row r="3">
      <c r="A3" s="1" t="n"/>
      <c r="B3" s="13">
        <f>TEXT(TODAY(),"MMMM \ YYYY")</f>
        <v/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2" customHeight="1">
      <c r="A5" s="1" t="n"/>
      <c r="B5" s="14" t="inlineStr">
        <is>
          <t>💰 FATURAMENTO MES</t>
        </is>
      </c>
      <c r="G5" s="14" t="inlineStr">
        <is>
          <t>📉 DESPESAS MES</t>
        </is>
      </c>
      <c r="L5" s="14" t="inlineStr">
        <is>
          <t>💎 LUCRO LIQUIDO</t>
        </is>
      </c>
      <c r="Q5" s="14" t="inlineStr">
        <is>
          <t>🎯 SESSOES MES</t>
        </is>
      </c>
      <c r="V5" s="14" t="inlineStr">
        <is>
          <t>👥 CLIENTES NOVOS</t>
        </is>
      </c>
    </row>
    <row r="6" ht="36" customHeight="1">
      <c r="A6" s="1" t="n"/>
      <c r="B6" s="15">
        <f>SUMIF(Financeiro!C:C,"Receita",Financeiro!D:D)</f>
        <v/>
      </c>
      <c r="G6" s="16">
        <f>SUMIF(Financeiro!C:C,"Despesa",Financeiro!D:D)</f>
        <v/>
      </c>
      <c r="L6" s="17">
        <f>B6-G6</f>
        <v/>
      </c>
      <c r="Q6" s="18">
        <f>COUNTA(Agenda!B:B)-1</f>
        <v/>
      </c>
      <c r="V6" s="19">
        <f>COUNTIF(Clientes!G:G,"Novo")</f>
        <v/>
      </c>
    </row>
    <row r="7" ht="22" customHeight="1">
      <c r="A7" s="1" t="n"/>
      <c r="B7" s="1" t="n"/>
      <c r="G7" s="1" t="n"/>
      <c r="L7" s="1" t="n"/>
      <c r="Q7" s="1" t="n"/>
      <c r="V7" s="1" t="n"/>
    </row>
    <row r="8" ht="22" customHeight="1">
      <c r="A8" s="1" t="n"/>
      <c r="B8" s="20" t="n"/>
      <c r="G8" s="21" t="n"/>
      <c r="L8" s="4" t="n"/>
      <c r="Q8" s="22" t="n"/>
      <c r="V8" s="23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20" customHeight="1">
      <c r="A10" s="1" t="n"/>
      <c r="B10" s="14" t="inlineStr">
        <is>
          <t>🎫 TICKET MEDIO</t>
        </is>
      </c>
      <c r="G10" s="14" t="inlineStr">
        <is>
          <t>📊 MARGEM LUCRO</t>
        </is>
      </c>
      <c r="L10" s="14" t="inlineStr">
        <is>
          <t>❌ CANCELAMENTOS</t>
        </is>
      </c>
      <c r="Q10" s="14" t="inlineStr">
        <is>
          <t>⭐ CLIENTES FIDELIZ.</t>
        </is>
      </c>
      <c r="V10" s="14" t="inlineStr">
        <is>
          <t>📦 VALOR ESTOQUE</t>
        </is>
      </c>
    </row>
    <row r="11" ht="32" customHeight="1">
      <c r="A11" s="1" t="n"/>
      <c r="B11" s="24">
        <f>IFERROR(B6/Q6,0)</f>
        <v/>
      </c>
      <c r="G11" s="25">
        <f>IFERROR(L6/B6,0)</f>
        <v/>
      </c>
      <c r="L11" s="26">
        <f>COUNTIF(Agenda!F:F,"Cancelado")</f>
        <v/>
      </c>
      <c r="Q11" s="27">
        <f>COUNTIF(Clientes!G:G,"Fidelizado")</f>
        <v/>
      </c>
      <c r="V11" s="28">
        <f>SUMPRODUCT(Estoque!C2:C100,Estoque!D2:D100)</f>
        <v/>
      </c>
    </row>
    <row r="12" ht="20" customHeight="1">
      <c r="A12" s="1" t="n"/>
      <c r="B12" s="1" t="n"/>
      <c r="G12" s="1" t="n"/>
      <c r="L12" s="1" t="n"/>
      <c r="Q12" s="1" t="n"/>
      <c r="V12" s="1" t="n"/>
    </row>
    <row r="13" ht="20" customHeight="1">
      <c r="A13" s="1" t="n"/>
      <c r="B13" s="29" t="n"/>
      <c r="G13" s="30" t="n"/>
      <c r="L13" s="21" t="n"/>
      <c r="Q13" s="20" t="n"/>
      <c r="V13" s="22" t="n"/>
    </row>
    <row r="14" ht="1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20" customHeight="1">
      <c r="A15" s="1" t="n"/>
      <c r="B15" s="31" t="inlineStr">
        <is>
          <t>📅  PRÓXIMAS SESSÕES</t>
        </is>
      </c>
      <c r="M15" s="31" t="inlineStr">
        <is>
          <t>🎯  METAS DO MÊS</t>
        </is>
      </c>
    </row>
    <row r="16">
      <c r="A16" s="1" t="n"/>
      <c r="B16" s="32" t="inlineStr">
        <is>
          <t>Data</t>
        </is>
      </c>
      <c r="C16" s="32" t="inlineStr">
        <is>
          <t>Hora</t>
        </is>
      </c>
      <c r="D16" s="32" t="inlineStr">
        <is>
          <t>Cliente</t>
        </is>
      </c>
      <c r="E16" s="32" t="inlineStr">
        <is>
          <t>Estilo</t>
        </is>
      </c>
      <c r="F16" s="32" t="inlineStr">
        <is>
          <t>Valor</t>
        </is>
      </c>
      <c r="G16" s="32" t="inlineStr">
        <is>
          <t>Status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8" customHeight="1">
      <c r="A17" s="1" t="n"/>
      <c r="B17" s="33" t="inlineStr"/>
      <c r="C17" s="33" t="inlineStr"/>
      <c r="D17" s="33" t="inlineStr"/>
      <c r="E17" s="33" t="inlineStr"/>
      <c r="F17" s="33" t="inlineStr"/>
      <c r="G17" s="33" t="inlineStr"/>
      <c r="H17" s="1" t="n"/>
      <c r="I17" s="1" t="n"/>
      <c r="J17" s="1" t="n"/>
      <c r="K17" s="1" t="n"/>
      <c r="L17" s="1" t="n"/>
      <c r="M17" s="34" t="inlineStr">
        <is>
          <t>Faturamento Alvo</t>
        </is>
      </c>
      <c r="R17" s="35" t="inlineStr">
        <is>
          <t>R$ 8.000</t>
        </is>
      </c>
      <c r="V17" s="36" t="inlineStr">
        <is>
          <t>Atualizar</t>
        </is>
      </c>
    </row>
    <row r="18" ht="18" customHeight="1">
      <c r="A18" s="1" t="n"/>
      <c r="B18" s="33" t="inlineStr"/>
      <c r="C18" s="33" t="inlineStr"/>
      <c r="D18" s="33" t="inlineStr"/>
      <c r="E18" s="33" t="inlineStr"/>
      <c r="F18" s="33" t="inlineStr"/>
      <c r="G18" s="33" t="inlineStr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8" customHeight="1">
      <c r="A19" s="1" t="n"/>
      <c r="B19" s="33" t="inlineStr"/>
      <c r="C19" s="33" t="inlineStr"/>
      <c r="D19" s="33" t="inlineStr"/>
      <c r="E19" s="33" t="inlineStr"/>
      <c r="F19" s="33" t="inlineStr"/>
      <c r="G19" s="33" t="inlineStr"/>
      <c r="H19" s="1" t="n"/>
      <c r="I19" s="1" t="n"/>
      <c r="J19" s="1" t="n"/>
      <c r="K19" s="1" t="n"/>
      <c r="L19" s="1" t="n"/>
      <c r="M19" s="34" t="inlineStr">
        <is>
          <t>Sessões Alvo</t>
        </is>
      </c>
      <c r="R19" s="35" t="inlineStr">
        <is>
          <t>20</t>
        </is>
      </c>
      <c r="V19" s="36" t="inlineStr">
        <is>
          <t>Atualizar</t>
        </is>
      </c>
    </row>
    <row r="20" ht="18" customHeight="1">
      <c r="A20" s="1" t="n"/>
      <c r="B20" s="33" t="inlineStr"/>
      <c r="C20" s="33" t="inlineStr"/>
      <c r="D20" s="33" t="inlineStr"/>
      <c r="E20" s="33" t="inlineStr"/>
      <c r="F20" s="33" t="inlineStr"/>
      <c r="G20" s="33" t="inlineStr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8" customHeight="1">
      <c r="A21" s="1" t="n"/>
      <c r="B21" s="33" t="inlineStr"/>
      <c r="C21" s="33" t="inlineStr"/>
      <c r="D21" s="33" t="inlineStr"/>
      <c r="E21" s="33" t="inlineStr"/>
      <c r="F21" s="33" t="inlineStr"/>
      <c r="G21" s="33" t="inlineStr"/>
      <c r="H21" s="1" t="n"/>
      <c r="I21" s="1" t="n"/>
      <c r="J21" s="1" t="n"/>
      <c r="K21" s="1" t="n"/>
      <c r="L21" s="1" t="n"/>
      <c r="M21" s="34" t="inlineStr">
        <is>
          <t>Novos Clientes</t>
        </is>
      </c>
      <c r="R21" s="35" t="inlineStr">
        <is>
          <t>5</t>
        </is>
      </c>
      <c r="V21" s="36" t="inlineStr">
        <is>
          <t>Atualizar</t>
        </is>
      </c>
    </row>
    <row r="22" ht="18" customHeight="1">
      <c r="A22" s="1" t="n"/>
      <c r="B22" s="33" t="inlineStr"/>
      <c r="C22" s="33" t="inlineStr"/>
      <c r="D22" s="33" t="inlineStr"/>
      <c r="E22" s="33" t="inlineStr"/>
      <c r="F22" s="33" t="inlineStr"/>
      <c r="G22" s="33" t="inlineStr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8" customHeight="1">
      <c r="A23" s="1" t="n"/>
      <c r="B23" s="33" t="inlineStr"/>
      <c r="C23" s="33" t="inlineStr"/>
      <c r="D23" s="33" t="inlineStr"/>
      <c r="E23" s="33" t="inlineStr"/>
      <c r="F23" s="33" t="inlineStr"/>
      <c r="G23" s="33" t="inlineStr"/>
      <c r="H23" s="1" t="n"/>
      <c r="I23" s="1" t="n"/>
      <c r="J23" s="1" t="n"/>
      <c r="K23" s="1" t="n"/>
      <c r="L23" s="1" t="n"/>
      <c r="M23" s="34" t="inlineStr">
        <is>
          <t>Ticket Médio Alvo</t>
        </is>
      </c>
      <c r="R23" s="35" t="inlineStr">
        <is>
          <t>R$ 400</t>
        </is>
      </c>
      <c r="V23" s="36" t="inlineStr">
        <is>
          <t>Atualizar</t>
        </is>
      </c>
    </row>
    <row r="24" ht="18" customHeight="1">
      <c r="A24" s="1" t="n"/>
      <c r="B24" s="33" t="inlineStr"/>
      <c r="C24" s="33" t="inlineStr"/>
      <c r="D24" s="33" t="inlineStr"/>
      <c r="E24" s="33" t="inlineStr"/>
      <c r="F24" s="33" t="inlineStr"/>
      <c r="G24" s="33" t="inlineStr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8" customHeight="1">
      <c r="A25" s="1" t="n"/>
      <c r="B25" s="33" t="inlineStr"/>
      <c r="C25" s="33" t="inlineStr"/>
      <c r="D25" s="33" t="inlineStr"/>
      <c r="E25" s="33" t="inlineStr"/>
      <c r="F25" s="33" t="inlineStr"/>
      <c r="G25" s="33" t="inlineStr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8" customHeight="1">
      <c r="A26" s="1" t="n"/>
      <c r="B26" s="33" t="inlineStr"/>
      <c r="C26" s="33" t="inlineStr"/>
      <c r="D26" s="33" t="inlineStr"/>
      <c r="E26" s="33" t="inlineStr"/>
      <c r="F26" s="33" t="inlineStr"/>
      <c r="G26" s="33" t="inlineStr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</sheetData>
  <mergeCells count="56">
    <mergeCell ref="Q7:U7"/>
    <mergeCell ref="R17:U17"/>
    <mergeCell ref="B7:F7"/>
    <mergeCell ref="Q12:U12"/>
    <mergeCell ref="G12:K12"/>
    <mergeCell ref="L7:P7"/>
    <mergeCell ref="B2:Y2"/>
    <mergeCell ref="B3:F3"/>
    <mergeCell ref="G11:K11"/>
    <mergeCell ref="V7:Y7"/>
    <mergeCell ref="L13:P13"/>
    <mergeCell ref="G8:K8"/>
    <mergeCell ref="Q8:U8"/>
    <mergeCell ref="B12:F12"/>
    <mergeCell ref="L12:P12"/>
    <mergeCell ref="G7:K7"/>
    <mergeCell ref="R23:U23"/>
    <mergeCell ref="V21:Y21"/>
    <mergeCell ref="B11:F11"/>
    <mergeCell ref="V12:Y12"/>
    <mergeCell ref="Q5:U5"/>
    <mergeCell ref="G10:K10"/>
    <mergeCell ref="V17:Y17"/>
    <mergeCell ref="G13:K13"/>
    <mergeCell ref="Q10:U10"/>
    <mergeCell ref="B8:F8"/>
    <mergeCell ref="L5:P5"/>
    <mergeCell ref="G6:K6"/>
    <mergeCell ref="V5:Y5"/>
    <mergeCell ref="L8:P8"/>
    <mergeCell ref="B13:F13"/>
    <mergeCell ref="V23:Y23"/>
    <mergeCell ref="R19:U19"/>
    <mergeCell ref="V13:Y13"/>
    <mergeCell ref="V8:Y8"/>
    <mergeCell ref="M21:Q21"/>
    <mergeCell ref="B10:F10"/>
    <mergeCell ref="Q6:U6"/>
    <mergeCell ref="L10:P10"/>
    <mergeCell ref="G5:K5"/>
    <mergeCell ref="V10:Y10"/>
    <mergeCell ref="V19:Y19"/>
    <mergeCell ref="M17:Q17"/>
    <mergeCell ref="B6:F6"/>
    <mergeCell ref="B15:L15"/>
    <mergeCell ref="L6:P6"/>
    <mergeCell ref="Q11:U11"/>
    <mergeCell ref="R21:U21"/>
    <mergeCell ref="B5:F5"/>
    <mergeCell ref="V6:Y6"/>
    <mergeCell ref="M23:Q23"/>
    <mergeCell ref="L11:P11"/>
    <mergeCell ref="M19:Q19"/>
    <mergeCell ref="V11:Y11"/>
    <mergeCell ref="M15:Y15"/>
    <mergeCell ref="Q13:U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O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2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20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5" customHeight="1">
      <c r="A2" s="1" t="n"/>
      <c r="B2" s="37" t="inlineStr">
        <is>
          <t>📅  AGENDA DE SESSÕES — CENTRAL TATTOO</t>
        </is>
      </c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2" customHeight="1">
      <c r="A4" s="104" t="n"/>
      <c r="B4" s="38" t="inlineStr">
        <is>
          <t>DATA</t>
        </is>
      </c>
      <c r="C4" s="38" t="inlineStr">
        <is>
          <t>HORA</t>
        </is>
      </c>
      <c r="D4" s="38" t="inlineStr">
        <is>
          <t>CLIENTE</t>
        </is>
      </c>
      <c r="E4" s="38" t="inlineStr">
        <is>
          <t>TELEFONE</t>
        </is>
      </c>
      <c r="F4" s="38" t="inlineStr">
        <is>
          <t>ESTILO</t>
        </is>
      </c>
      <c r="G4" s="105" t="inlineStr">
        <is>
          <t>STATUS</t>
        </is>
      </c>
      <c r="H4" s="105" t="inlineStr">
        <is>
          <t>VALOR (R$)</t>
        </is>
      </c>
      <c r="I4" s="106">
        <f>IF(G4&lt;&gt;"",G4-H4,"")</f>
        <v/>
      </c>
      <c r="J4" s="38" t="inlineStr">
        <is>
          <t>SALDO (R$)</t>
        </is>
      </c>
      <c r="K4" s="38" t="inlineStr">
        <is>
          <t>DURAÇÃO</t>
        </is>
      </c>
      <c r="L4" s="38" t="inlineStr">
        <is>
          <t>LOCAL</t>
        </is>
      </c>
      <c r="M4" s="38" t="inlineStr">
        <is>
          <t>OBS</t>
        </is>
      </c>
      <c r="N4" s="1" t="n"/>
      <c r="O4" s="1" t="n"/>
    </row>
    <row r="5" ht="18" customHeight="1">
      <c r="A5" s="104" t="n"/>
      <c r="B5" s="39" t="n"/>
      <c r="C5" s="39" t="n"/>
      <c r="D5" s="39" t="n"/>
      <c r="E5" s="39" t="n"/>
      <c r="F5" s="39" t="n"/>
      <c r="G5" s="107" t="n"/>
      <c r="H5" s="107" t="n"/>
      <c r="I5" s="108">
        <f>IF(G5&lt;&gt;"",G5-H5,"")</f>
        <v/>
      </c>
      <c r="J5" s="39" t="n"/>
      <c r="K5" s="39" t="n"/>
      <c r="L5" s="39" t="n"/>
      <c r="M5" s="39" t="n"/>
      <c r="N5" s="1" t="n"/>
      <c r="O5" s="1" t="n"/>
    </row>
    <row r="6" ht="18" customHeight="1">
      <c r="A6" s="104" t="n"/>
      <c r="B6" s="33" t="n"/>
      <c r="C6" s="33" t="n"/>
      <c r="D6" s="33" t="n"/>
      <c r="E6" s="33" t="n"/>
      <c r="F6" s="33" t="n"/>
      <c r="G6" s="109" t="n"/>
      <c r="H6" s="109" t="n"/>
      <c r="I6" s="110">
        <f>IF(G6&lt;&gt;"",G6-H6,"")</f>
        <v/>
      </c>
      <c r="J6" s="33" t="n"/>
      <c r="K6" s="33" t="n"/>
      <c r="L6" s="33" t="n"/>
      <c r="M6" s="33" t="n"/>
      <c r="N6" s="1" t="n"/>
      <c r="O6" s="1" t="n"/>
    </row>
    <row r="7" ht="18" customHeight="1">
      <c r="A7" s="104" t="n"/>
      <c r="B7" s="39" t="n"/>
      <c r="C7" s="39" t="n"/>
      <c r="D7" s="39" t="n"/>
      <c r="E7" s="39" t="n"/>
      <c r="F7" s="39" t="n"/>
      <c r="G7" s="107" t="n"/>
      <c r="H7" s="107" t="n"/>
      <c r="I7" s="108">
        <f>IF(G7&lt;&gt;"",G7-H7,"")</f>
        <v/>
      </c>
      <c r="J7" s="39" t="n"/>
      <c r="K7" s="39" t="n"/>
      <c r="L7" s="39" t="n"/>
      <c r="M7" s="39" t="n"/>
      <c r="N7" s="1" t="n"/>
      <c r="O7" s="1" t="n"/>
    </row>
    <row r="8" ht="18" customHeight="1">
      <c r="A8" s="104" t="n"/>
      <c r="B8" s="33" t="n"/>
      <c r="C8" s="33" t="n"/>
      <c r="D8" s="33" t="n"/>
      <c r="E8" s="33" t="n"/>
      <c r="F8" s="33" t="n"/>
      <c r="G8" s="109" t="n"/>
      <c r="H8" s="109" t="n"/>
      <c r="I8" s="110">
        <f>IF(G8&lt;&gt;"",G8-H8,"")</f>
        <v/>
      </c>
      <c r="J8" s="33" t="n"/>
      <c r="K8" s="33" t="n"/>
      <c r="L8" s="33" t="n"/>
      <c r="M8" s="33" t="n"/>
      <c r="N8" s="1" t="n"/>
      <c r="O8" s="1" t="n"/>
    </row>
    <row r="9" ht="18" customHeight="1">
      <c r="A9" s="104" t="n"/>
      <c r="B9" s="39" t="n"/>
      <c r="C9" s="39" t="n"/>
      <c r="D9" s="39" t="n"/>
      <c r="E9" s="39" t="n"/>
      <c r="F9" s="39" t="n"/>
      <c r="G9" s="107" t="n"/>
      <c r="H9" s="107" t="n"/>
      <c r="I9" s="108">
        <f>IF(G9&lt;&gt;"",G9-H9,"")</f>
        <v/>
      </c>
      <c r="J9" s="39" t="n"/>
      <c r="K9" s="39" t="n"/>
      <c r="L9" s="39" t="n"/>
      <c r="M9" s="39" t="n"/>
      <c r="N9" s="1" t="n"/>
      <c r="O9" s="1" t="n"/>
    </row>
    <row r="10" ht="18" customHeight="1">
      <c r="A10" s="104" t="n"/>
      <c r="B10" s="33" t="n"/>
      <c r="C10" s="33" t="n"/>
      <c r="D10" s="33" t="n"/>
      <c r="E10" s="33" t="n"/>
      <c r="F10" s="33" t="n"/>
      <c r="G10" s="109" t="n"/>
      <c r="H10" s="109" t="n"/>
      <c r="I10" s="110">
        <f>IF(G10&lt;&gt;"",G10-H10,"")</f>
        <v/>
      </c>
      <c r="J10" s="33" t="n"/>
      <c r="K10" s="33" t="n"/>
      <c r="L10" s="33" t="n"/>
      <c r="M10" s="33" t="n"/>
      <c r="N10" s="1" t="n"/>
      <c r="O10" s="1" t="n"/>
    </row>
    <row r="11" ht="18" customHeight="1">
      <c r="A11" s="104" t="n"/>
      <c r="B11" s="39" t="n"/>
      <c r="C11" s="39" t="n"/>
      <c r="D11" s="39" t="n"/>
      <c r="E11" s="39" t="n"/>
      <c r="F11" s="39" t="n"/>
      <c r="G11" s="107" t="n"/>
      <c r="H11" s="107" t="n"/>
      <c r="I11" s="108">
        <f>IF(G11&lt;&gt;"",G11-H11,"")</f>
        <v/>
      </c>
      <c r="J11" s="39" t="n"/>
      <c r="K11" s="39" t="n"/>
      <c r="L11" s="39" t="n"/>
      <c r="M11" s="39" t="n"/>
      <c r="N11" s="1" t="n"/>
      <c r="O11" s="1" t="n"/>
    </row>
    <row r="12" ht="18" customHeight="1">
      <c r="A12" s="104" t="n"/>
      <c r="B12" s="33" t="n"/>
      <c r="C12" s="33" t="n"/>
      <c r="D12" s="33" t="n"/>
      <c r="E12" s="33" t="n"/>
      <c r="F12" s="33" t="n"/>
      <c r="G12" s="109" t="n"/>
      <c r="H12" s="109" t="n"/>
      <c r="I12" s="110">
        <f>IF(G12&lt;&gt;"",G12-H12,"")</f>
        <v/>
      </c>
      <c r="J12" s="33" t="n"/>
      <c r="K12" s="33" t="n"/>
      <c r="L12" s="33" t="n"/>
      <c r="M12" s="33" t="n"/>
      <c r="N12" s="1" t="n"/>
      <c r="O12" s="1" t="n"/>
    </row>
    <row r="13" ht="18" customHeight="1">
      <c r="A13" s="104" t="n"/>
      <c r="B13" s="39" t="n"/>
      <c r="C13" s="39" t="n"/>
      <c r="D13" s="39" t="n"/>
      <c r="E13" s="39" t="n"/>
      <c r="F13" s="39" t="n"/>
      <c r="G13" s="107" t="n"/>
      <c r="H13" s="107" t="n"/>
      <c r="I13" s="108">
        <f>IF(G13&lt;&gt;"",G13-H13,"")</f>
        <v/>
      </c>
      <c r="J13" s="39" t="n"/>
      <c r="K13" s="39" t="n"/>
      <c r="L13" s="39" t="n"/>
      <c r="M13" s="39" t="n"/>
      <c r="N13" s="1" t="n"/>
      <c r="O13" s="1" t="n"/>
    </row>
    <row r="14" ht="18" customHeight="1">
      <c r="A14" s="104" t="n"/>
      <c r="B14" s="33" t="n"/>
      <c r="C14" s="33" t="n"/>
      <c r="D14" s="33" t="n"/>
      <c r="E14" s="33" t="n"/>
      <c r="F14" s="33" t="n"/>
      <c r="G14" s="109" t="n"/>
      <c r="H14" s="109" t="n"/>
      <c r="I14" s="110">
        <f>IF(G14&lt;&gt;"",G14-H14,"")</f>
        <v/>
      </c>
      <c r="J14" s="33" t="n"/>
      <c r="K14" s="33" t="n"/>
      <c r="L14" s="33" t="n"/>
      <c r="M14" s="33" t="n"/>
      <c r="N14" s="1" t="n"/>
      <c r="O14" s="1" t="n"/>
    </row>
    <row r="15" ht="18" customHeight="1">
      <c r="A15" s="104" t="n"/>
      <c r="B15" s="39" t="n"/>
      <c r="C15" s="39" t="n"/>
      <c r="D15" s="39" t="n"/>
      <c r="E15" s="39" t="n"/>
      <c r="F15" s="39" t="n"/>
      <c r="G15" s="107" t="n"/>
      <c r="H15" s="107" t="n"/>
      <c r="I15" s="108">
        <f>IF(G15&lt;&gt;"",G15-H15,"")</f>
        <v/>
      </c>
      <c r="J15" s="39" t="n"/>
      <c r="K15" s="39" t="n"/>
      <c r="L15" s="39" t="n"/>
      <c r="M15" s="39" t="n"/>
      <c r="N15" s="1" t="n"/>
      <c r="O15" s="1" t="n"/>
    </row>
    <row r="16" ht="18" customHeight="1">
      <c r="A16" s="104" t="n"/>
      <c r="B16" s="33" t="n"/>
      <c r="C16" s="33" t="n"/>
      <c r="D16" s="33" t="n"/>
      <c r="E16" s="33" t="n"/>
      <c r="F16" s="33" t="n"/>
      <c r="G16" s="109" t="n"/>
      <c r="H16" s="109" t="n"/>
      <c r="I16" s="110">
        <f>IF(G16&lt;&gt;"",G16-H16,"")</f>
        <v/>
      </c>
      <c r="J16" s="33" t="n"/>
      <c r="K16" s="33" t="n"/>
      <c r="L16" s="33" t="n"/>
      <c r="M16" s="33" t="n"/>
      <c r="N16" s="1" t="n"/>
      <c r="O16" s="1" t="n"/>
    </row>
    <row r="17" ht="18" customHeight="1">
      <c r="A17" s="104" t="n"/>
      <c r="B17" s="39" t="n"/>
      <c r="C17" s="39" t="n"/>
      <c r="D17" s="39" t="n"/>
      <c r="E17" s="39" t="n"/>
      <c r="F17" s="39" t="n"/>
      <c r="G17" s="107" t="n"/>
      <c r="H17" s="107" t="n"/>
      <c r="I17" s="108">
        <f>IF(G17&lt;&gt;"",G17-H17,"")</f>
        <v/>
      </c>
      <c r="J17" s="39" t="n"/>
      <c r="K17" s="39" t="n"/>
      <c r="L17" s="39" t="n"/>
      <c r="M17" s="39" t="n"/>
      <c r="N17" s="1" t="n"/>
      <c r="O17" s="1" t="n"/>
    </row>
    <row r="18" ht="18" customHeight="1">
      <c r="A18" s="104" t="n"/>
      <c r="B18" s="33" t="n"/>
      <c r="C18" s="33" t="n"/>
      <c r="D18" s="33" t="n"/>
      <c r="E18" s="33" t="n"/>
      <c r="F18" s="33" t="n"/>
      <c r="G18" s="109" t="n"/>
      <c r="H18" s="109" t="n"/>
      <c r="I18" s="110">
        <f>IF(G18&lt;&gt;"",G18-H18,"")</f>
        <v/>
      </c>
      <c r="J18" s="33" t="n"/>
      <c r="K18" s="33" t="n"/>
      <c r="L18" s="33" t="n"/>
      <c r="M18" s="33" t="n"/>
      <c r="N18" s="1" t="n"/>
      <c r="O18" s="1" t="n"/>
    </row>
    <row r="19" ht="18" customHeight="1">
      <c r="A19" s="104" t="n"/>
      <c r="B19" s="39" t="n"/>
      <c r="C19" s="39" t="n"/>
      <c r="D19" s="39" t="n"/>
      <c r="E19" s="39" t="n"/>
      <c r="F19" s="39" t="n"/>
      <c r="G19" s="107" t="n"/>
      <c r="H19" s="107" t="n"/>
      <c r="I19" s="108">
        <f>IF(G19&lt;&gt;"",G19-H19,"")</f>
        <v/>
      </c>
      <c r="J19" s="39" t="n"/>
      <c r="K19" s="39" t="n"/>
      <c r="L19" s="39" t="n"/>
      <c r="M19" s="39" t="n"/>
      <c r="N19" s="1" t="n"/>
      <c r="O19" s="1" t="n"/>
    </row>
    <row r="20" ht="18" customHeight="1">
      <c r="A20" s="104" t="n"/>
      <c r="B20" s="33" t="n"/>
      <c r="C20" s="33" t="n"/>
      <c r="D20" s="33" t="n"/>
      <c r="E20" s="33" t="n"/>
      <c r="F20" s="33" t="n"/>
      <c r="G20" s="109" t="n"/>
      <c r="H20" s="109" t="n"/>
      <c r="I20" s="110">
        <f>IF(G20&lt;&gt;"",G20-H20,"")</f>
        <v/>
      </c>
      <c r="J20" s="33" t="n"/>
      <c r="K20" s="33" t="n"/>
      <c r="L20" s="33" t="n"/>
      <c r="M20" s="33" t="n"/>
      <c r="N20" s="1" t="n"/>
      <c r="O20" s="1" t="n"/>
    </row>
    <row r="21" ht="18" customHeight="1">
      <c r="A21" s="104" t="n"/>
      <c r="B21" s="39" t="n"/>
      <c r="C21" s="39" t="n"/>
      <c r="D21" s="39" t="n"/>
      <c r="E21" s="39" t="n"/>
      <c r="F21" s="39" t="n"/>
      <c r="G21" s="107" t="n"/>
      <c r="H21" s="107" t="n"/>
      <c r="I21" s="108">
        <f>IF(G21&lt;&gt;"",G21-H21,"")</f>
        <v/>
      </c>
      <c r="J21" s="39" t="n"/>
      <c r="K21" s="39" t="n"/>
      <c r="L21" s="39" t="n"/>
      <c r="M21" s="39" t="n"/>
      <c r="N21" s="1" t="n"/>
      <c r="O21" s="1" t="n"/>
    </row>
    <row r="22" ht="18" customHeight="1">
      <c r="A22" s="104" t="n"/>
      <c r="B22" s="33" t="n"/>
      <c r="C22" s="33" t="n"/>
      <c r="D22" s="33" t="n"/>
      <c r="E22" s="33" t="n"/>
      <c r="F22" s="33" t="n"/>
      <c r="G22" s="109" t="n"/>
      <c r="H22" s="109" t="n"/>
      <c r="I22" s="110">
        <f>IF(G22&lt;&gt;"",G22-H22,"")</f>
        <v/>
      </c>
      <c r="J22" s="33" t="n"/>
      <c r="K22" s="33" t="n"/>
      <c r="L22" s="33" t="n"/>
      <c r="M22" s="33" t="n"/>
      <c r="N22" s="1" t="n"/>
      <c r="O22" s="1" t="n"/>
    </row>
    <row r="23" ht="18" customHeight="1">
      <c r="A23" s="104" t="n"/>
      <c r="B23" s="39" t="n"/>
      <c r="C23" s="39" t="n"/>
      <c r="D23" s="39" t="n"/>
      <c r="E23" s="39" t="n"/>
      <c r="F23" s="39" t="n"/>
      <c r="G23" s="107" t="n"/>
      <c r="H23" s="107" t="n"/>
      <c r="I23" s="108">
        <f>IF(G23&lt;&gt;"",G23-H23,"")</f>
        <v/>
      </c>
      <c r="J23" s="39" t="n"/>
      <c r="K23" s="39" t="n"/>
      <c r="L23" s="39" t="n"/>
      <c r="M23" s="39" t="n"/>
      <c r="N23" s="1" t="n"/>
      <c r="O23" s="1" t="n"/>
    </row>
    <row r="24" ht="18" customHeight="1">
      <c r="A24" s="104" t="n"/>
      <c r="B24" s="33" t="n"/>
      <c r="C24" s="33" t="n"/>
      <c r="D24" s="33" t="n"/>
      <c r="E24" s="33" t="n"/>
      <c r="F24" s="33" t="n"/>
      <c r="G24" s="109" t="n"/>
      <c r="H24" s="109" t="n"/>
      <c r="I24" s="110">
        <f>IF(G24&lt;&gt;"",G24-H24,"")</f>
        <v/>
      </c>
      <c r="J24" s="33" t="n"/>
      <c r="K24" s="33" t="n"/>
      <c r="L24" s="33" t="n"/>
      <c r="M24" s="33" t="n"/>
      <c r="N24" s="1" t="n"/>
      <c r="O24" s="1" t="n"/>
    </row>
    <row r="25" ht="18" customHeight="1">
      <c r="A25" s="104" t="n"/>
      <c r="B25" s="39" t="n"/>
      <c r="C25" s="39" t="n"/>
      <c r="D25" s="39" t="n"/>
      <c r="E25" s="39" t="n"/>
      <c r="F25" s="39" t="n"/>
      <c r="G25" s="107" t="n"/>
      <c r="H25" s="107" t="n"/>
      <c r="I25" s="108">
        <f>IF(G25&lt;&gt;"",G25-H25,"")</f>
        <v/>
      </c>
      <c r="J25" s="39" t="n"/>
      <c r="K25" s="39" t="n"/>
      <c r="L25" s="39" t="n"/>
      <c r="M25" s="39" t="n"/>
      <c r="N25" s="1" t="n"/>
      <c r="O25" s="1" t="n"/>
    </row>
    <row r="26" ht="18" customHeight="1">
      <c r="A26" s="104" t="n"/>
      <c r="B26" s="33" t="n"/>
      <c r="C26" s="33" t="n"/>
      <c r="D26" s="33" t="n"/>
      <c r="E26" s="33" t="n"/>
      <c r="F26" s="33" t="n"/>
      <c r="G26" s="109" t="n"/>
      <c r="H26" s="109" t="n"/>
      <c r="I26" s="110">
        <f>IF(G26&lt;&gt;"",G26-H26,"")</f>
        <v/>
      </c>
      <c r="J26" s="33" t="n"/>
      <c r="K26" s="33" t="n"/>
      <c r="L26" s="33" t="n"/>
      <c r="M26" s="33" t="n"/>
      <c r="N26" s="1" t="n"/>
      <c r="O26" s="1" t="n"/>
    </row>
    <row r="27" ht="18" customHeight="1">
      <c r="A27" s="104" t="n"/>
      <c r="B27" s="39" t="n"/>
      <c r="C27" s="39" t="n"/>
      <c r="D27" s="39" t="n"/>
      <c r="E27" s="39" t="n"/>
      <c r="F27" s="39" t="n"/>
      <c r="G27" s="107" t="n"/>
      <c r="H27" s="107" t="n"/>
      <c r="I27" s="108">
        <f>IF(G27&lt;&gt;"",G27-H27,"")</f>
        <v/>
      </c>
      <c r="J27" s="39" t="n"/>
      <c r="K27" s="39" t="n"/>
      <c r="L27" s="39" t="n"/>
      <c r="M27" s="39" t="n"/>
      <c r="N27" s="1" t="n"/>
      <c r="O27" s="1" t="n"/>
    </row>
    <row r="28" ht="18" customHeight="1">
      <c r="A28" s="104" t="n"/>
      <c r="B28" s="33" t="n"/>
      <c r="C28" s="33" t="n"/>
      <c r="D28" s="33" t="n"/>
      <c r="E28" s="33" t="n"/>
      <c r="F28" s="33" t="n"/>
      <c r="G28" s="109" t="n"/>
      <c r="H28" s="109" t="n"/>
      <c r="I28" s="110">
        <f>IF(G28&lt;&gt;"",G28-H28,"")</f>
        <v/>
      </c>
      <c r="J28" s="33" t="n"/>
      <c r="K28" s="33" t="n"/>
      <c r="L28" s="33" t="n"/>
      <c r="M28" s="33" t="n"/>
      <c r="N28" s="1" t="n"/>
      <c r="O28" s="1" t="n"/>
    </row>
    <row r="29" ht="18" customHeight="1">
      <c r="A29" s="104" t="n"/>
      <c r="B29" s="39" t="n"/>
      <c r="C29" s="39" t="n"/>
      <c r="D29" s="39" t="n"/>
      <c r="E29" s="39" t="n"/>
      <c r="F29" s="39" t="n"/>
      <c r="G29" s="107" t="n"/>
      <c r="H29" s="107" t="n"/>
      <c r="I29" s="108">
        <f>IF(G29&lt;&gt;"",G29-H29,"")</f>
        <v/>
      </c>
      <c r="J29" s="39" t="n"/>
      <c r="K29" s="39" t="n"/>
      <c r="L29" s="39" t="n"/>
      <c r="M29" s="39" t="n"/>
      <c r="N29" s="1" t="n"/>
      <c r="O29" s="1" t="n"/>
    </row>
    <row r="30" ht="18" customHeight="1">
      <c r="A30" s="104" t="n"/>
      <c r="B30" s="33" t="n"/>
      <c r="C30" s="33" t="n"/>
      <c r="D30" s="33" t="n"/>
      <c r="E30" s="33" t="n"/>
      <c r="F30" s="33" t="n"/>
      <c r="G30" s="109" t="n"/>
      <c r="H30" s="109" t="n"/>
      <c r="I30" s="110">
        <f>IF(G30&lt;&gt;"",G30-H30,"")</f>
        <v/>
      </c>
      <c r="J30" s="33" t="n"/>
      <c r="K30" s="33" t="n"/>
      <c r="L30" s="33" t="n"/>
      <c r="M30" s="33" t="n"/>
      <c r="N30" s="1" t="n"/>
      <c r="O30" s="1" t="n"/>
    </row>
    <row r="31" ht="18" customHeight="1">
      <c r="A31" s="104" t="n"/>
      <c r="B31" s="39" t="n"/>
      <c r="C31" s="39" t="n"/>
      <c r="D31" s="39" t="n"/>
      <c r="E31" s="39" t="n"/>
      <c r="F31" s="39" t="n"/>
      <c r="G31" s="107" t="n"/>
      <c r="H31" s="107" t="n"/>
      <c r="I31" s="108">
        <f>IF(G31&lt;&gt;"",G31-H31,"")</f>
        <v/>
      </c>
      <c r="J31" s="39" t="n"/>
      <c r="K31" s="39" t="n"/>
      <c r="L31" s="39" t="n"/>
      <c r="M31" s="39" t="n"/>
      <c r="N31" s="1" t="n"/>
      <c r="O31" s="1" t="n"/>
    </row>
    <row r="32" ht="18" customHeight="1">
      <c r="A32" s="104" t="n"/>
      <c r="B32" s="33" t="n"/>
      <c r="C32" s="33" t="n"/>
      <c r="D32" s="33" t="n"/>
      <c r="E32" s="33" t="n"/>
      <c r="F32" s="33" t="n"/>
      <c r="G32" s="109" t="n"/>
      <c r="H32" s="109" t="n"/>
      <c r="I32" s="110">
        <f>IF(G32&lt;&gt;"",G32-H32,"")</f>
        <v/>
      </c>
      <c r="J32" s="33" t="n"/>
      <c r="K32" s="33" t="n"/>
      <c r="L32" s="33" t="n"/>
      <c r="M32" s="33" t="n"/>
      <c r="N32" s="1" t="n"/>
      <c r="O32" s="1" t="n"/>
    </row>
    <row r="33" ht="18" customHeight="1">
      <c r="A33" s="104" t="n"/>
      <c r="B33" s="39" t="n"/>
      <c r="C33" s="39" t="n"/>
      <c r="D33" s="39" t="n"/>
      <c r="E33" s="39" t="n"/>
      <c r="F33" s="39" t="n"/>
      <c r="G33" s="107" t="n"/>
      <c r="H33" s="107" t="n"/>
      <c r="I33" s="108">
        <f>IF(G33&lt;&gt;"",G33-H33,"")</f>
        <v/>
      </c>
      <c r="J33" s="39" t="n"/>
      <c r="K33" s="39" t="n"/>
      <c r="L33" s="39" t="n"/>
      <c r="M33" s="39" t="n"/>
      <c r="N33" s="1" t="n"/>
      <c r="O33" s="1" t="n"/>
    </row>
    <row r="34" ht="18" customHeight="1">
      <c r="A34" s="104" t="n"/>
      <c r="B34" s="33" t="n"/>
      <c r="C34" s="33" t="n"/>
      <c r="D34" s="33" t="n"/>
      <c r="E34" s="33" t="n"/>
      <c r="F34" s="33" t="n"/>
      <c r="G34" s="109" t="n"/>
      <c r="H34" s="109" t="n"/>
      <c r="I34" s="110">
        <f>IF(G34&lt;&gt;"",G34-H34,"")</f>
        <v/>
      </c>
      <c r="J34" s="33" t="n"/>
      <c r="K34" s="33" t="n"/>
      <c r="L34" s="33" t="n"/>
      <c r="M34" s="33" t="n"/>
      <c r="N34" s="1" t="n"/>
      <c r="O34" s="1" t="n"/>
    </row>
    <row r="35" ht="18" customHeight="1">
      <c r="A35" s="104" t="n"/>
      <c r="B35" s="39" t="n"/>
      <c r="C35" s="39" t="n"/>
      <c r="D35" s="39" t="n"/>
      <c r="E35" s="39" t="n"/>
      <c r="F35" s="39" t="n"/>
      <c r="G35" s="107" t="n"/>
      <c r="H35" s="107" t="n"/>
      <c r="I35" s="108">
        <f>IF(G35&lt;&gt;"",G35-H35,"")</f>
        <v/>
      </c>
      <c r="J35" s="39" t="n"/>
      <c r="K35" s="39" t="n"/>
      <c r="L35" s="39" t="n"/>
      <c r="M35" s="39" t="n"/>
      <c r="N35" s="1" t="n"/>
      <c r="O35" s="1" t="n"/>
    </row>
    <row r="36" ht="18" customHeight="1">
      <c r="A36" s="104" t="n"/>
      <c r="B36" s="33" t="n"/>
      <c r="C36" s="33" t="n"/>
      <c r="D36" s="33" t="n"/>
      <c r="E36" s="33" t="n"/>
      <c r="F36" s="33" t="n"/>
      <c r="G36" s="109" t="n"/>
      <c r="H36" s="109" t="n"/>
      <c r="I36" s="110">
        <f>IF(G36&lt;&gt;"",G36-H36,"")</f>
        <v/>
      </c>
      <c r="J36" s="33" t="n"/>
      <c r="K36" s="33" t="n"/>
      <c r="L36" s="33" t="n"/>
      <c r="M36" s="33" t="n"/>
      <c r="N36" s="1" t="n"/>
      <c r="O36" s="1" t="n"/>
    </row>
    <row r="37" ht="18" customHeight="1">
      <c r="A37" s="104" t="n"/>
      <c r="B37" s="39" t="n"/>
      <c r="C37" s="39" t="n"/>
      <c r="D37" s="39" t="n"/>
      <c r="E37" s="39" t="n"/>
      <c r="F37" s="39" t="n"/>
      <c r="G37" s="107" t="n"/>
      <c r="H37" s="107" t="n"/>
      <c r="I37" s="108">
        <f>IF(G37&lt;&gt;"",G37-H37,"")</f>
        <v/>
      </c>
      <c r="J37" s="39" t="n"/>
      <c r="K37" s="39" t="n"/>
      <c r="L37" s="39" t="n"/>
      <c r="M37" s="39" t="n"/>
      <c r="N37" s="1" t="n"/>
      <c r="O37" s="1" t="n"/>
    </row>
    <row r="38" ht="18" customHeight="1">
      <c r="A38" s="104" t="n"/>
      <c r="B38" s="33" t="n"/>
      <c r="C38" s="33" t="n"/>
      <c r="D38" s="33" t="n"/>
      <c r="E38" s="33" t="n"/>
      <c r="F38" s="33" t="n"/>
      <c r="G38" s="109" t="n"/>
      <c r="H38" s="109" t="n"/>
      <c r="I38" s="110">
        <f>IF(G38&lt;&gt;"",G38-H38,"")</f>
        <v/>
      </c>
      <c r="J38" s="33" t="n"/>
      <c r="K38" s="33" t="n"/>
      <c r="L38" s="33" t="n"/>
      <c r="M38" s="33" t="n"/>
      <c r="N38" s="1" t="n"/>
      <c r="O38" s="1" t="n"/>
    </row>
    <row r="39" ht="18" customHeight="1">
      <c r="A39" s="104" t="n"/>
      <c r="B39" s="39" t="n"/>
      <c r="C39" s="39" t="n"/>
      <c r="D39" s="39" t="n"/>
      <c r="E39" s="39" t="n"/>
      <c r="F39" s="39" t="n"/>
      <c r="G39" s="107" t="n"/>
      <c r="H39" s="107" t="n"/>
      <c r="I39" s="108">
        <f>IF(G39&lt;&gt;"",G39-H39,"")</f>
        <v/>
      </c>
      <c r="J39" s="39" t="n"/>
      <c r="K39" s="39" t="n"/>
      <c r="L39" s="39" t="n"/>
      <c r="M39" s="39" t="n"/>
      <c r="N39" s="1" t="n"/>
      <c r="O39" s="1" t="n"/>
    </row>
    <row r="40" ht="18" customHeight="1">
      <c r="A40" s="104" t="n"/>
      <c r="B40" s="33" t="n"/>
      <c r="C40" s="33" t="n"/>
      <c r="D40" s="33" t="n"/>
      <c r="E40" s="33" t="n"/>
      <c r="F40" s="33" t="n"/>
      <c r="G40" s="109" t="n"/>
      <c r="H40" s="109" t="n"/>
      <c r="I40" s="110">
        <f>IF(G40&lt;&gt;"",G40-H40,"")</f>
        <v/>
      </c>
      <c r="J40" s="33" t="n"/>
      <c r="K40" s="33" t="n"/>
      <c r="L40" s="33" t="n"/>
      <c r="M40" s="33" t="n"/>
      <c r="N40" s="1" t="n"/>
      <c r="O40" s="1" t="n"/>
    </row>
    <row r="41" ht="18" customHeight="1">
      <c r="A41" s="104" t="n"/>
      <c r="B41" s="39" t="n"/>
      <c r="C41" s="39" t="n"/>
      <c r="D41" s="39" t="n"/>
      <c r="E41" s="39" t="n"/>
      <c r="F41" s="39" t="n"/>
      <c r="G41" s="107" t="n"/>
      <c r="H41" s="107" t="n"/>
      <c r="I41" s="108">
        <f>IF(G41&lt;&gt;"",G41-H41,"")</f>
        <v/>
      </c>
      <c r="J41" s="39" t="n"/>
      <c r="K41" s="39" t="n"/>
      <c r="L41" s="39" t="n"/>
      <c r="M41" s="39" t="n"/>
      <c r="N41" s="1" t="n"/>
      <c r="O41" s="1" t="n"/>
    </row>
    <row r="42" ht="18" customHeight="1">
      <c r="A42" s="104" t="n"/>
      <c r="B42" s="33" t="n"/>
      <c r="C42" s="33" t="n"/>
      <c r="D42" s="33" t="n"/>
      <c r="E42" s="33" t="n"/>
      <c r="F42" s="33" t="n"/>
      <c r="G42" s="109" t="n"/>
      <c r="H42" s="109" t="n"/>
      <c r="I42" s="110">
        <f>IF(G42&lt;&gt;"",G42-H42,"")</f>
        <v/>
      </c>
      <c r="J42" s="33" t="n"/>
      <c r="K42" s="33" t="n"/>
      <c r="L42" s="33" t="n"/>
      <c r="M42" s="33" t="n"/>
      <c r="N42" s="1" t="n"/>
      <c r="O42" s="1" t="n"/>
    </row>
    <row r="43" ht="18" customHeight="1">
      <c r="A43" s="104" t="n"/>
      <c r="B43" s="39" t="n"/>
      <c r="C43" s="39" t="n"/>
      <c r="D43" s="39" t="n"/>
      <c r="E43" s="39" t="n"/>
      <c r="F43" s="39" t="n"/>
      <c r="G43" s="107" t="n"/>
      <c r="H43" s="107" t="n"/>
      <c r="I43" s="108">
        <f>IF(G43&lt;&gt;"",G43-H43,"")</f>
        <v/>
      </c>
      <c r="J43" s="39" t="n"/>
      <c r="K43" s="39" t="n"/>
      <c r="L43" s="39" t="n"/>
      <c r="M43" s="39" t="n"/>
      <c r="N43" s="1" t="n"/>
      <c r="O43" s="1" t="n"/>
    </row>
    <row r="44" ht="18" customHeight="1">
      <c r="A44" s="104" t="n"/>
      <c r="B44" s="33" t="n"/>
      <c r="C44" s="33" t="n"/>
      <c r="D44" s="33" t="n"/>
      <c r="E44" s="33" t="n"/>
      <c r="F44" s="33" t="n"/>
      <c r="G44" s="109" t="n"/>
      <c r="H44" s="109" t="n"/>
      <c r="I44" s="110">
        <f>IF(G44&lt;&gt;"",G44-H44,"")</f>
        <v/>
      </c>
      <c r="J44" s="33" t="n"/>
      <c r="K44" s="33" t="n"/>
      <c r="L44" s="33" t="n"/>
      <c r="M44" s="33" t="n"/>
      <c r="N44" s="1" t="n"/>
      <c r="O44" s="1" t="n"/>
    </row>
    <row r="45" ht="18" customHeight="1">
      <c r="A45" s="104" t="n"/>
      <c r="B45" s="39" t="n"/>
      <c r="C45" s="39" t="n"/>
      <c r="D45" s="39" t="n"/>
      <c r="E45" s="39" t="n"/>
      <c r="F45" s="39" t="n"/>
      <c r="G45" s="107" t="n"/>
      <c r="H45" s="107" t="n"/>
      <c r="I45" s="108">
        <f>IF(G45&lt;&gt;"",G45-H45,"")</f>
        <v/>
      </c>
      <c r="J45" s="39" t="n"/>
      <c r="K45" s="39" t="n"/>
      <c r="L45" s="39" t="n"/>
      <c r="M45" s="39" t="n"/>
      <c r="N45" s="1" t="n"/>
      <c r="O45" s="1" t="n"/>
    </row>
    <row r="46" ht="18" customHeight="1">
      <c r="A46" s="104" t="n"/>
      <c r="B46" s="33" t="n"/>
      <c r="C46" s="33" t="n"/>
      <c r="D46" s="33" t="n"/>
      <c r="E46" s="33" t="n"/>
      <c r="F46" s="33" t="n"/>
      <c r="G46" s="109" t="n"/>
      <c r="H46" s="109" t="n"/>
      <c r="I46" s="110">
        <f>IF(G46&lt;&gt;"",G46-H46,"")</f>
        <v/>
      </c>
      <c r="J46" s="33" t="n"/>
      <c r="K46" s="33" t="n"/>
      <c r="L46" s="33" t="n"/>
      <c r="M46" s="33" t="n"/>
      <c r="N46" s="1" t="n"/>
      <c r="O46" s="1" t="n"/>
    </row>
    <row r="47" ht="18" customHeight="1">
      <c r="A47" s="104" t="n"/>
      <c r="B47" s="39" t="n"/>
      <c r="C47" s="39" t="n"/>
      <c r="D47" s="39" t="n"/>
      <c r="E47" s="39" t="n"/>
      <c r="F47" s="39" t="n"/>
      <c r="G47" s="107" t="n"/>
      <c r="H47" s="107" t="n"/>
      <c r="I47" s="108">
        <f>IF(G47&lt;&gt;"",G47-H47,"")</f>
        <v/>
      </c>
      <c r="J47" s="39" t="n"/>
      <c r="K47" s="39" t="n"/>
      <c r="L47" s="39" t="n"/>
      <c r="M47" s="39" t="n"/>
      <c r="N47" s="1" t="n"/>
      <c r="O47" s="1" t="n"/>
    </row>
    <row r="48" ht="18" customHeight="1">
      <c r="A48" s="104" t="n"/>
      <c r="B48" s="33" t="n"/>
      <c r="C48" s="33" t="n"/>
      <c r="D48" s="33" t="n"/>
      <c r="E48" s="33" t="n"/>
      <c r="F48" s="33" t="n"/>
      <c r="G48" s="109" t="n"/>
      <c r="H48" s="109" t="n"/>
      <c r="I48" s="110">
        <f>IF(G48&lt;&gt;"",G48-H48,"")</f>
        <v/>
      </c>
      <c r="J48" s="33" t="n"/>
      <c r="K48" s="33" t="n"/>
      <c r="L48" s="33" t="n"/>
      <c r="M48" s="33" t="n"/>
      <c r="N48" s="1" t="n"/>
      <c r="O48" s="1" t="n"/>
    </row>
    <row r="49" ht="18" customHeight="1">
      <c r="A49" s="104" t="n"/>
      <c r="B49" s="39" t="n"/>
      <c r="C49" s="39" t="n"/>
      <c r="D49" s="39" t="n"/>
      <c r="E49" s="39" t="n"/>
      <c r="F49" s="39" t="n"/>
      <c r="G49" s="107" t="n"/>
      <c r="H49" s="107" t="n"/>
      <c r="I49" s="108">
        <f>IF(G49&lt;&gt;"",G49-H49,"")</f>
        <v/>
      </c>
      <c r="J49" s="39" t="n"/>
      <c r="K49" s="39" t="n"/>
      <c r="L49" s="39" t="n"/>
      <c r="M49" s="39" t="n"/>
      <c r="N49" s="1" t="n"/>
      <c r="O49" s="1" t="n"/>
    </row>
    <row r="50" ht="18" customHeight="1">
      <c r="A50" s="104" t="n"/>
      <c r="B50" s="33" t="n"/>
      <c r="C50" s="33" t="n"/>
      <c r="D50" s="33" t="n"/>
      <c r="E50" s="33" t="n"/>
      <c r="F50" s="33" t="n"/>
      <c r="G50" s="109" t="n"/>
      <c r="H50" s="109" t="n"/>
      <c r="I50" s="110">
        <f>IF(G50&lt;&gt;"",G50-H50,"")</f>
        <v/>
      </c>
      <c r="J50" s="33" t="n"/>
      <c r="K50" s="33" t="n"/>
      <c r="L50" s="33" t="n"/>
      <c r="M50" s="33" t="n"/>
      <c r="N50" s="1" t="n"/>
      <c r="O50" s="1" t="n"/>
    </row>
    <row r="51" ht="18" customHeight="1">
      <c r="A51" s="104" t="n"/>
      <c r="B51" s="39" t="n"/>
      <c r="C51" s="39" t="n"/>
      <c r="D51" s="39" t="n"/>
      <c r="E51" s="39" t="n"/>
      <c r="F51" s="39" t="n"/>
      <c r="G51" s="107" t="n"/>
      <c r="H51" s="107" t="n"/>
      <c r="I51" s="108">
        <f>IF(G51&lt;&gt;"",G51-H51,"")</f>
        <v/>
      </c>
      <c r="J51" s="39" t="n"/>
      <c r="K51" s="39" t="n"/>
      <c r="L51" s="39" t="n"/>
      <c r="M51" s="39" t="n"/>
      <c r="N51" s="1" t="n"/>
      <c r="O51" s="1" t="n"/>
    </row>
    <row r="52" ht="18" customHeight="1">
      <c r="A52" s="104" t="n"/>
      <c r="B52" s="33" t="n"/>
      <c r="C52" s="33" t="n"/>
      <c r="D52" s="33" t="n"/>
      <c r="E52" s="33" t="n"/>
      <c r="F52" s="33" t="n"/>
      <c r="G52" s="109" t="n"/>
      <c r="H52" s="109" t="n"/>
      <c r="I52" s="110">
        <f>IF(G52&lt;&gt;"",G52-H52,"")</f>
        <v/>
      </c>
      <c r="J52" s="33" t="n"/>
      <c r="K52" s="33" t="n"/>
      <c r="L52" s="33" t="n"/>
      <c r="M52" s="33" t="n"/>
      <c r="N52" s="1" t="n"/>
      <c r="O52" s="1" t="n"/>
    </row>
    <row r="53" ht="18" customHeight="1">
      <c r="A53" s="104" t="n"/>
      <c r="B53" s="39" t="n"/>
      <c r="C53" s="39" t="n"/>
      <c r="D53" s="39" t="n"/>
      <c r="E53" s="39" t="n"/>
      <c r="F53" s="39" t="n"/>
      <c r="G53" s="107" t="n"/>
      <c r="H53" s="107" t="n"/>
      <c r="I53" s="108">
        <f>IF(G53&lt;&gt;"",G53-H53,"")</f>
        <v/>
      </c>
      <c r="J53" s="39" t="n"/>
      <c r="K53" s="39" t="n"/>
      <c r="L53" s="39" t="n"/>
      <c r="M53" s="39" t="n"/>
      <c r="N53" s="1" t="n"/>
      <c r="O53" s="1" t="n"/>
    </row>
    <row r="54" ht="18" customHeight="1">
      <c r="A54" s="104" t="n"/>
      <c r="B54" s="33" t="n"/>
      <c r="C54" s="33" t="n"/>
      <c r="D54" s="33" t="n"/>
      <c r="E54" s="33" t="n"/>
      <c r="F54" s="33" t="n"/>
      <c r="G54" s="109" t="n"/>
      <c r="H54" s="109" t="n"/>
      <c r="I54" s="110">
        <f>IF(G54&lt;&gt;"",G54-H54,"")</f>
        <v/>
      </c>
      <c r="J54" s="33" t="n"/>
      <c r="K54" s="33" t="n"/>
      <c r="L54" s="33" t="n"/>
      <c r="M54" s="33" t="n"/>
      <c r="N54" s="1" t="n"/>
      <c r="O54" s="1" t="n"/>
    </row>
    <row r="55" ht="18" customHeight="1">
      <c r="A55" s="104" t="n"/>
      <c r="B55" s="39" t="n"/>
      <c r="C55" s="39" t="n"/>
      <c r="D55" s="39" t="n"/>
      <c r="E55" s="39" t="n"/>
      <c r="F55" s="39" t="n"/>
      <c r="G55" s="107" t="n"/>
      <c r="H55" s="107" t="n"/>
      <c r="I55" s="108">
        <f>IF(G55&lt;&gt;"",G55-H55,"")</f>
        <v/>
      </c>
      <c r="J55" s="39" t="n"/>
      <c r="K55" s="39" t="n"/>
      <c r="L55" s="39" t="n"/>
      <c r="M55" s="39" t="n"/>
      <c r="N55" s="1" t="n"/>
      <c r="O55" s="1" t="n"/>
    </row>
    <row r="56" ht="18" customHeight="1">
      <c r="A56" s="104" t="n"/>
      <c r="B56" s="33" t="n"/>
      <c r="C56" s="33" t="n"/>
      <c r="D56" s="33" t="n"/>
      <c r="E56" s="33" t="n"/>
      <c r="F56" s="33" t="n"/>
      <c r="G56" s="109" t="n"/>
      <c r="H56" s="109" t="n"/>
      <c r="I56" s="110">
        <f>IF(G56&lt;&gt;"",G56-H56,"")</f>
        <v/>
      </c>
      <c r="J56" s="33" t="n"/>
      <c r="K56" s="33" t="n"/>
      <c r="L56" s="33" t="n"/>
      <c r="M56" s="33" t="n"/>
      <c r="N56" s="1" t="n"/>
      <c r="O56" s="1" t="n"/>
    </row>
    <row r="57" ht="18" customHeight="1">
      <c r="A57" s="104" t="n"/>
      <c r="B57" s="39" t="n"/>
      <c r="C57" s="39" t="n"/>
      <c r="D57" s="39" t="n"/>
      <c r="E57" s="39" t="n"/>
      <c r="F57" s="39" t="n"/>
      <c r="G57" s="107" t="n"/>
      <c r="H57" s="107" t="n"/>
      <c r="I57" s="108">
        <f>IF(G57&lt;&gt;"",G57-H57,"")</f>
        <v/>
      </c>
      <c r="J57" s="39" t="n"/>
      <c r="K57" s="39" t="n"/>
      <c r="L57" s="39" t="n"/>
      <c r="M57" s="39" t="n"/>
      <c r="N57" s="1" t="n"/>
      <c r="O57" s="1" t="n"/>
    </row>
    <row r="58" ht="18" customHeight="1">
      <c r="A58" s="104" t="n"/>
      <c r="B58" s="33" t="n"/>
      <c r="C58" s="33" t="n"/>
      <c r="D58" s="33" t="n"/>
      <c r="E58" s="33" t="n"/>
      <c r="F58" s="33" t="n"/>
      <c r="G58" s="109" t="n"/>
      <c r="H58" s="109" t="n"/>
      <c r="I58" s="110">
        <f>IF(G58&lt;&gt;"",G58-H58,"")</f>
        <v/>
      </c>
      <c r="J58" s="33" t="n"/>
      <c r="K58" s="33" t="n"/>
      <c r="L58" s="33" t="n"/>
      <c r="M58" s="33" t="n"/>
      <c r="N58" s="1" t="n"/>
      <c r="O58" s="1" t="n"/>
    </row>
    <row r="59" ht="18" customHeight="1">
      <c r="A59" s="104" t="n"/>
      <c r="B59" s="39" t="n"/>
      <c r="C59" s="39" t="n"/>
      <c r="D59" s="39" t="n"/>
      <c r="E59" s="39" t="n"/>
      <c r="F59" s="39" t="n"/>
      <c r="G59" s="107" t="n"/>
      <c r="H59" s="107" t="n"/>
      <c r="I59" s="108">
        <f>IF(G59&lt;&gt;"",G59-H59,"")</f>
        <v/>
      </c>
      <c r="J59" s="39" t="n"/>
      <c r="K59" s="39" t="n"/>
      <c r="L59" s="39" t="n"/>
      <c r="M59" s="39" t="n"/>
      <c r="N59" s="1" t="n"/>
      <c r="O59" s="1" t="n"/>
    </row>
    <row r="60" ht="18" customHeight="1">
      <c r="A60" s="104" t="n"/>
      <c r="B60" s="33" t="n"/>
      <c r="C60" s="33" t="n"/>
      <c r="D60" s="33" t="n"/>
      <c r="E60" s="33" t="n"/>
      <c r="F60" s="33" t="n"/>
      <c r="G60" s="109" t="n"/>
      <c r="H60" s="109" t="n"/>
      <c r="I60" s="110">
        <f>IF(G60&lt;&gt;"",G60-H60,"")</f>
        <v/>
      </c>
      <c r="J60" s="33" t="n"/>
      <c r="K60" s="33" t="n"/>
      <c r="L60" s="33" t="n"/>
      <c r="M60" s="33" t="n"/>
      <c r="N60" s="1" t="n"/>
      <c r="O60" s="1" t="n"/>
    </row>
    <row r="61" ht="18" customHeight="1">
      <c r="A61" s="104" t="n"/>
      <c r="B61" s="39" t="n"/>
      <c r="C61" s="39" t="n"/>
      <c r="D61" s="39" t="n"/>
      <c r="E61" s="39" t="n"/>
      <c r="F61" s="39" t="n"/>
      <c r="G61" s="107" t="n"/>
      <c r="H61" s="107" t="n"/>
      <c r="I61" s="108">
        <f>IF(G61&lt;&gt;"",G61-H61,"")</f>
        <v/>
      </c>
      <c r="J61" s="39" t="n"/>
      <c r="K61" s="39" t="n"/>
      <c r="L61" s="39" t="n"/>
      <c r="M61" s="39" t="n"/>
      <c r="N61" s="1" t="n"/>
      <c r="O61" s="1" t="n"/>
    </row>
    <row r="62" ht="18" customHeight="1">
      <c r="A62" s="104" t="n"/>
      <c r="B62" s="33" t="n"/>
      <c r="C62" s="33" t="n"/>
      <c r="D62" s="33" t="n"/>
      <c r="E62" s="33" t="n"/>
      <c r="F62" s="33" t="n"/>
      <c r="G62" s="109" t="n"/>
      <c r="H62" s="109" t="n"/>
      <c r="I62" s="110">
        <f>IF(G62&lt;&gt;"",G62-H62,"")</f>
        <v/>
      </c>
      <c r="J62" s="33" t="n"/>
      <c r="K62" s="33" t="n"/>
      <c r="L62" s="33" t="n"/>
      <c r="M62" s="33" t="n"/>
      <c r="N62" s="1" t="n"/>
      <c r="O62" s="1" t="n"/>
    </row>
    <row r="63" ht="18" customHeight="1">
      <c r="A63" s="104" t="n"/>
      <c r="B63" s="39" t="n"/>
      <c r="C63" s="39" t="n"/>
      <c r="D63" s="39" t="n"/>
      <c r="E63" s="39" t="n"/>
      <c r="F63" s="39" t="n"/>
      <c r="G63" s="107" t="n"/>
      <c r="H63" s="107" t="n"/>
      <c r="I63" s="108">
        <f>IF(G63&lt;&gt;"",G63-H63,"")</f>
        <v/>
      </c>
      <c r="J63" s="39" t="n"/>
      <c r="K63" s="39" t="n"/>
      <c r="L63" s="39" t="n"/>
      <c r="M63" s="39" t="n"/>
      <c r="N63" s="1" t="n"/>
      <c r="O63" s="1" t="n"/>
    </row>
    <row r="64" ht="18" customHeight="1">
      <c r="A64" s="104" t="n"/>
      <c r="B64" s="33" t="n"/>
      <c r="C64" s="33" t="n"/>
      <c r="D64" s="33" t="n"/>
      <c r="E64" s="33" t="n"/>
      <c r="F64" s="33" t="n"/>
      <c r="G64" s="109" t="n"/>
      <c r="H64" s="109" t="n"/>
      <c r="I64" s="110">
        <f>IF(G64&lt;&gt;"",G64-H64,"")</f>
        <v/>
      </c>
      <c r="J64" s="33" t="n"/>
      <c r="K64" s="33" t="n"/>
      <c r="L64" s="33" t="n"/>
      <c r="M64" s="33" t="n"/>
      <c r="N64" s="1" t="n"/>
      <c r="O64" s="1" t="n"/>
    </row>
    <row r="65" ht="18" customHeight="1">
      <c r="A65" s="104" t="n"/>
      <c r="B65" s="39" t="n"/>
      <c r="C65" s="39" t="n"/>
      <c r="D65" s="39" t="n"/>
      <c r="E65" s="39" t="n"/>
      <c r="F65" s="39" t="n"/>
      <c r="G65" s="107" t="n"/>
      <c r="H65" s="107" t="n"/>
      <c r="I65" s="108">
        <f>IF(G65&lt;&gt;"",G65-H65,"")</f>
        <v/>
      </c>
      <c r="J65" s="39" t="n"/>
      <c r="K65" s="39" t="n"/>
      <c r="L65" s="39" t="n"/>
      <c r="M65" s="39" t="n"/>
      <c r="N65" s="1" t="n"/>
      <c r="O65" s="1" t="n"/>
    </row>
    <row r="66" ht="18" customHeight="1">
      <c r="A66" s="104" t="n"/>
      <c r="B66" s="33" t="n"/>
      <c r="C66" s="33" t="n"/>
      <c r="D66" s="33" t="n"/>
      <c r="E66" s="33" t="n"/>
      <c r="F66" s="33" t="n"/>
      <c r="G66" s="109" t="n"/>
      <c r="H66" s="109" t="n"/>
      <c r="I66" s="110">
        <f>IF(G66&lt;&gt;"",G66-H66,"")</f>
        <v/>
      </c>
      <c r="J66" s="33" t="n"/>
      <c r="K66" s="33" t="n"/>
      <c r="L66" s="33" t="n"/>
      <c r="M66" s="33" t="n"/>
      <c r="N66" s="1" t="n"/>
      <c r="O66" s="1" t="n"/>
    </row>
    <row r="67" ht="18" customHeight="1">
      <c r="A67" s="104" t="n"/>
      <c r="B67" s="39" t="n"/>
      <c r="C67" s="39" t="n"/>
      <c r="D67" s="39" t="n"/>
      <c r="E67" s="39" t="n"/>
      <c r="F67" s="39" t="n"/>
      <c r="G67" s="107" t="n"/>
      <c r="H67" s="107" t="n"/>
      <c r="I67" s="108">
        <f>IF(G67&lt;&gt;"",G67-H67,"")</f>
        <v/>
      </c>
      <c r="J67" s="39" t="n"/>
      <c r="K67" s="39" t="n"/>
      <c r="L67" s="39" t="n"/>
      <c r="M67" s="39" t="n"/>
      <c r="N67" s="1" t="n"/>
      <c r="O67" s="1" t="n"/>
    </row>
    <row r="68" ht="18" customHeight="1">
      <c r="A68" s="104" t="n"/>
      <c r="B68" s="33" t="n"/>
      <c r="C68" s="33" t="n"/>
      <c r="D68" s="33" t="n"/>
      <c r="E68" s="33" t="n"/>
      <c r="F68" s="33" t="n"/>
      <c r="G68" s="109" t="n"/>
      <c r="H68" s="109" t="n"/>
      <c r="I68" s="110">
        <f>IF(G68&lt;&gt;"",G68-H68,"")</f>
        <v/>
      </c>
      <c r="J68" s="33" t="n"/>
      <c r="K68" s="33" t="n"/>
      <c r="L68" s="33" t="n"/>
      <c r="M68" s="33" t="n"/>
      <c r="N68" s="1" t="n"/>
      <c r="O68" s="1" t="n"/>
    </row>
    <row r="69" ht="18" customHeight="1">
      <c r="A69" s="104" t="n"/>
      <c r="B69" s="39" t="n"/>
      <c r="C69" s="39" t="n"/>
      <c r="D69" s="39" t="n"/>
      <c r="E69" s="39" t="n"/>
      <c r="F69" s="39" t="n"/>
      <c r="G69" s="107" t="n"/>
      <c r="H69" s="107" t="n"/>
      <c r="I69" s="108">
        <f>IF(G69&lt;&gt;"",G69-H69,"")</f>
        <v/>
      </c>
      <c r="J69" s="39" t="n"/>
      <c r="K69" s="39" t="n"/>
      <c r="L69" s="39" t="n"/>
      <c r="M69" s="39" t="n"/>
      <c r="N69" s="1" t="n"/>
      <c r="O69" s="1" t="n"/>
    </row>
    <row r="70" ht="18" customHeight="1">
      <c r="A70" s="104" t="n"/>
      <c r="B70" s="33" t="n"/>
      <c r="C70" s="33" t="n"/>
      <c r="D70" s="33" t="n"/>
      <c r="E70" s="33" t="n"/>
      <c r="F70" s="33" t="n"/>
      <c r="G70" s="109" t="n"/>
      <c r="H70" s="109" t="n"/>
      <c r="I70" s="110">
        <f>IF(G70&lt;&gt;"",G70-H70,"")</f>
        <v/>
      </c>
      <c r="J70" s="33" t="n"/>
      <c r="K70" s="33" t="n"/>
      <c r="L70" s="33" t="n"/>
      <c r="M70" s="33" t="n"/>
      <c r="N70" s="1" t="n"/>
      <c r="O70" s="1" t="n"/>
    </row>
    <row r="71" ht="18" customHeight="1">
      <c r="A71" s="104" t="n"/>
      <c r="B71" s="39" t="n"/>
      <c r="C71" s="39" t="n"/>
      <c r="D71" s="39" t="n"/>
      <c r="E71" s="39" t="n"/>
      <c r="F71" s="39" t="n"/>
      <c r="G71" s="107" t="n"/>
      <c r="H71" s="107" t="n"/>
      <c r="I71" s="108">
        <f>IF(G71&lt;&gt;"",G71-H71,"")</f>
        <v/>
      </c>
      <c r="J71" s="39" t="n"/>
      <c r="K71" s="39" t="n"/>
      <c r="L71" s="39" t="n"/>
      <c r="M71" s="39" t="n"/>
      <c r="N71" s="1" t="n"/>
      <c r="O71" s="1" t="n"/>
    </row>
    <row r="72" ht="18" customHeight="1">
      <c r="A72" s="104" t="n"/>
      <c r="B72" s="33" t="n"/>
      <c r="C72" s="33" t="n"/>
      <c r="D72" s="33" t="n"/>
      <c r="E72" s="33" t="n"/>
      <c r="F72" s="33" t="n"/>
      <c r="G72" s="109" t="n"/>
      <c r="H72" s="109" t="n"/>
      <c r="I72" s="110">
        <f>IF(G72&lt;&gt;"",G72-H72,"")</f>
        <v/>
      </c>
      <c r="J72" s="33" t="n"/>
      <c r="K72" s="33" t="n"/>
      <c r="L72" s="33" t="n"/>
      <c r="M72" s="33" t="n"/>
      <c r="N72" s="1" t="n"/>
      <c r="O72" s="1" t="n"/>
    </row>
    <row r="73" ht="18" customHeight="1">
      <c r="A73" s="104" t="n"/>
      <c r="B73" s="39" t="n"/>
      <c r="C73" s="39" t="n"/>
      <c r="D73" s="39" t="n"/>
      <c r="E73" s="39" t="n"/>
      <c r="F73" s="39" t="n"/>
      <c r="G73" s="107" t="n"/>
      <c r="H73" s="107" t="n"/>
      <c r="I73" s="108">
        <f>IF(G73&lt;&gt;"",G73-H73,"")</f>
        <v/>
      </c>
      <c r="J73" s="39" t="n"/>
      <c r="K73" s="39" t="n"/>
      <c r="L73" s="39" t="n"/>
      <c r="M73" s="39" t="n"/>
      <c r="N73" s="1" t="n"/>
      <c r="O73" s="1" t="n"/>
    </row>
    <row r="74" ht="18" customHeight="1">
      <c r="A74" s="104" t="n"/>
      <c r="B74" s="33" t="n"/>
      <c r="C74" s="33" t="n"/>
      <c r="D74" s="33" t="n"/>
      <c r="E74" s="33" t="n"/>
      <c r="F74" s="33" t="n"/>
      <c r="G74" s="109" t="n"/>
      <c r="H74" s="109" t="n"/>
      <c r="I74" s="110">
        <f>IF(G74&lt;&gt;"",G74-H74,"")</f>
        <v/>
      </c>
      <c r="J74" s="33" t="n"/>
      <c r="K74" s="33" t="n"/>
      <c r="L74" s="33" t="n"/>
      <c r="M74" s="33" t="n"/>
      <c r="N74" s="1" t="n"/>
      <c r="O74" s="1" t="n"/>
    </row>
    <row r="75" ht="18" customHeight="1">
      <c r="A75" s="104" t="n"/>
      <c r="B75" s="39" t="n"/>
      <c r="C75" s="39" t="n"/>
      <c r="D75" s="39" t="n"/>
      <c r="E75" s="39" t="n"/>
      <c r="F75" s="39" t="n"/>
      <c r="G75" s="107" t="n"/>
      <c r="H75" s="107" t="n"/>
      <c r="I75" s="108">
        <f>IF(G75&lt;&gt;"",G75-H75,"")</f>
        <v/>
      </c>
      <c r="J75" s="39" t="n"/>
      <c r="K75" s="39" t="n"/>
      <c r="L75" s="39" t="n"/>
      <c r="M75" s="39" t="n"/>
      <c r="N75" s="1" t="n"/>
      <c r="O75" s="1" t="n"/>
    </row>
    <row r="76" ht="18" customHeight="1">
      <c r="A76" s="104" t="n"/>
      <c r="B76" s="33" t="n"/>
      <c r="C76" s="33" t="n"/>
      <c r="D76" s="33" t="n"/>
      <c r="E76" s="33" t="n"/>
      <c r="F76" s="33" t="n"/>
      <c r="G76" s="109" t="n"/>
      <c r="H76" s="109" t="n"/>
      <c r="I76" s="110">
        <f>IF(G76&lt;&gt;"",G76-H76,"")</f>
        <v/>
      </c>
      <c r="J76" s="33" t="n"/>
      <c r="K76" s="33" t="n"/>
      <c r="L76" s="33" t="n"/>
      <c r="M76" s="33" t="n"/>
      <c r="N76" s="1" t="n"/>
      <c r="O76" s="1" t="n"/>
    </row>
    <row r="77" ht="18" customHeight="1">
      <c r="A77" s="104" t="n"/>
      <c r="B77" s="39" t="n"/>
      <c r="C77" s="39" t="n"/>
      <c r="D77" s="39" t="n"/>
      <c r="E77" s="39" t="n"/>
      <c r="F77" s="39" t="n"/>
      <c r="G77" s="107" t="n"/>
      <c r="H77" s="107" t="n"/>
      <c r="I77" s="108">
        <f>IF(G77&lt;&gt;"",G77-H77,"")</f>
        <v/>
      </c>
      <c r="J77" s="39" t="n"/>
      <c r="K77" s="39" t="n"/>
      <c r="L77" s="39" t="n"/>
      <c r="M77" s="39" t="n"/>
      <c r="N77" s="1" t="n"/>
      <c r="O77" s="1" t="n"/>
    </row>
    <row r="78" ht="18" customHeight="1">
      <c r="A78" s="104" t="n"/>
      <c r="B78" s="33" t="n"/>
      <c r="C78" s="33" t="n"/>
      <c r="D78" s="33" t="n"/>
      <c r="E78" s="33" t="n"/>
      <c r="F78" s="33" t="n"/>
      <c r="G78" s="109" t="n"/>
      <c r="H78" s="109" t="n"/>
      <c r="I78" s="110">
        <f>IF(G78&lt;&gt;"",G78-H78,"")</f>
        <v/>
      </c>
      <c r="J78" s="33" t="n"/>
      <c r="K78" s="33" t="n"/>
      <c r="L78" s="33" t="n"/>
      <c r="M78" s="33" t="n"/>
      <c r="N78" s="1" t="n"/>
      <c r="O78" s="1" t="n"/>
    </row>
    <row r="79" ht="18" customHeight="1">
      <c r="A79" s="104" t="n"/>
      <c r="B79" s="39" t="n"/>
      <c r="C79" s="39" t="n"/>
      <c r="D79" s="39" t="n"/>
      <c r="E79" s="39" t="n"/>
      <c r="F79" s="39" t="n"/>
      <c r="G79" s="107" t="n"/>
      <c r="H79" s="107" t="n"/>
      <c r="I79" s="108">
        <f>IF(G79&lt;&gt;"",G79-H79,"")</f>
        <v/>
      </c>
      <c r="J79" s="39" t="n"/>
      <c r="K79" s="39" t="n"/>
      <c r="L79" s="39" t="n"/>
      <c r="M79" s="39" t="n"/>
      <c r="N79" s="1" t="n"/>
      <c r="O79" s="1" t="n"/>
    </row>
    <row r="80" ht="18" customHeight="1">
      <c r="A80" s="104" t="n"/>
      <c r="B80" s="33" t="n"/>
      <c r="C80" s="33" t="n"/>
      <c r="D80" s="33" t="n"/>
      <c r="E80" s="33" t="n"/>
      <c r="F80" s="33" t="n"/>
      <c r="G80" s="109" t="n"/>
      <c r="H80" s="109" t="n"/>
      <c r="I80" s="110">
        <f>IF(G80&lt;&gt;"",G80-H80,"")</f>
        <v/>
      </c>
      <c r="J80" s="33" t="n"/>
      <c r="K80" s="33" t="n"/>
      <c r="L80" s="33" t="n"/>
      <c r="M80" s="33" t="n"/>
      <c r="N80" s="1" t="n"/>
      <c r="O80" s="1" t="n"/>
    </row>
    <row r="81" ht="18" customHeight="1">
      <c r="A81" s="104" t="n"/>
      <c r="B81" s="39" t="n"/>
      <c r="C81" s="39" t="n"/>
      <c r="D81" s="39" t="n"/>
      <c r="E81" s="39" t="n"/>
      <c r="F81" s="39" t="n"/>
      <c r="G81" s="107" t="n"/>
      <c r="H81" s="107" t="n"/>
      <c r="I81" s="108">
        <f>IF(G81&lt;&gt;"",G81-H81,"")</f>
        <v/>
      </c>
      <c r="J81" s="39" t="n"/>
      <c r="K81" s="39" t="n"/>
      <c r="L81" s="39" t="n"/>
      <c r="M81" s="39" t="n"/>
      <c r="N81" s="1" t="n"/>
      <c r="O81" s="1" t="n"/>
    </row>
    <row r="82" ht="18" customHeight="1">
      <c r="A82" s="104" t="n"/>
      <c r="B82" s="33" t="n"/>
      <c r="C82" s="33" t="n"/>
      <c r="D82" s="33" t="n"/>
      <c r="E82" s="33" t="n"/>
      <c r="F82" s="33" t="n"/>
      <c r="G82" s="109" t="n"/>
      <c r="H82" s="109" t="n"/>
      <c r="I82" s="110">
        <f>IF(G82&lt;&gt;"",G82-H82,"")</f>
        <v/>
      </c>
      <c r="J82" s="33" t="n"/>
      <c r="K82" s="33" t="n"/>
      <c r="L82" s="33" t="n"/>
      <c r="M82" s="33" t="n"/>
      <c r="N82" s="1" t="n"/>
      <c r="O82" s="1" t="n"/>
    </row>
    <row r="83" ht="18" customHeight="1">
      <c r="A83" s="104" t="n"/>
      <c r="B83" s="39" t="n"/>
      <c r="C83" s="39" t="n"/>
      <c r="D83" s="39" t="n"/>
      <c r="E83" s="39" t="n"/>
      <c r="F83" s="39" t="n"/>
      <c r="G83" s="107" t="n"/>
      <c r="H83" s="107" t="n"/>
      <c r="I83" s="108">
        <f>IF(G83&lt;&gt;"",G83-H83,"")</f>
        <v/>
      </c>
      <c r="J83" s="39" t="n"/>
      <c r="K83" s="39" t="n"/>
      <c r="L83" s="39" t="n"/>
      <c r="M83" s="39" t="n"/>
      <c r="N83" s="1" t="n"/>
      <c r="O83" s="1" t="n"/>
    </row>
    <row r="84" ht="18" customHeight="1">
      <c r="A84" s="104" t="n"/>
      <c r="B84" s="33" t="n"/>
      <c r="C84" s="33" t="n"/>
      <c r="D84" s="33" t="n"/>
      <c r="E84" s="33" t="n"/>
      <c r="F84" s="33" t="n"/>
      <c r="G84" s="109" t="n"/>
      <c r="H84" s="109" t="n"/>
      <c r="I84" s="110">
        <f>IF(G84&lt;&gt;"",G84-H84,"")</f>
        <v/>
      </c>
      <c r="J84" s="33" t="n"/>
      <c r="K84" s="33" t="n"/>
      <c r="L84" s="33" t="n"/>
      <c r="M84" s="33" t="n"/>
      <c r="N84" s="1" t="n"/>
      <c r="O84" s="1" t="n"/>
    </row>
    <row r="85" ht="18" customHeight="1">
      <c r="A85" s="104" t="n"/>
      <c r="B85" s="39" t="n"/>
      <c r="C85" s="39" t="n"/>
      <c r="D85" s="39" t="n"/>
      <c r="E85" s="39" t="n"/>
      <c r="F85" s="39" t="n"/>
      <c r="G85" s="107" t="n"/>
      <c r="H85" s="107" t="n"/>
      <c r="I85" s="108">
        <f>IF(G85&lt;&gt;"",G85-H85,"")</f>
        <v/>
      </c>
      <c r="J85" s="39" t="n"/>
      <c r="K85" s="39" t="n"/>
      <c r="L85" s="39" t="n"/>
      <c r="M85" s="39" t="n"/>
      <c r="N85" s="1" t="n"/>
      <c r="O85" s="1" t="n"/>
    </row>
    <row r="86" ht="18" customHeight="1">
      <c r="A86" s="104" t="n"/>
      <c r="B86" s="33" t="n"/>
      <c r="C86" s="33" t="n"/>
      <c r="D86" s="33" t="n"/>
      <c r="E86" s="33" t="n"/>
      <c r="F86" s="33" t="n"/>
      <c r="G86" s="109" t="n"/>
      <c r="H86" s="109" t="n"/>
      <c r="I86" s="110">
        <f>IF(G86&lt;&gt;"",G86-H86,"")</f>
        <v/>
      </c>
      <c r="J86" s="33" t="n"/>
      <c r="K86" s="33" t="n"/>
      <c r="L86" s="33" t="n"/>
      <c r="M86" s="33" t="n"/>
      <c r="N86" s="1" t="n"/>
      <c r="O86" s="1" t="n"/>
    </row>
    <row r="87" ht="18" customHeight="1">
      <c r="A87" s="104" t="n"/>
      <c r="B87" s="39" t="n"/>
      <c r="C87" s="39" t="n"/>
      <c r="D87" s="39" t="n"/>
      <c r="E87" s="39" t="n"/>
      <c r="F87" s="39" t="n"/>
      <c r="G87" s="107" t="n"/>
      <c r="H87" s="107" t="n"/>
      <c r="I87" s="108">
        <f>IF(G87&lt;&gt;"",G87-H87,"")</f>
        <v/>
      </c>
      <c r="J87" s="39" t="n"/>
      <c r="K87" s="39" t="n"/>
      <c r="L87" s="39" t="n"/>
      <c r="M87" s="39" t="n"/>
      <c r="N87" s="1" t="n"/>
      <c r="O87" s="1" t="n"/>
    </row>
    <row r="88" ht="18" customHeight="1">
      <c r="A88" s="104" t="n"/>
      <c r="B88" s="33" t="n"/>
      <c r="C88" s="33" t="n"/>
      <c r="D88" s="33" t="n"/>
      <c r="E88" s="33" t="n"/>
      <c r="F88" s="33" t="n"/>
      <c r="G88" s="109" t="n"/>
      <c r="H88" s="109" t="n"/>
      <c r="I88" s="110">
        <f>IF(G88&lt;&gt;"",G88-H88,"")</f>
        <v/>
      </c>
      <c r="J88" s="33" t="n"/>
      <c r="K88" s="33" t="n"/>
      <c r="L88" s="33" t="n"/>
      <c r="M88" s="33" t="n"/>
      <c r="N88" s="1" t="n"/>
      <c r="O88" s="1" t="n"/>
    </row>
    <row r="89" ht="18" customHeight="1">
      <c r="A89" s="104" t="n"/>
      <c r="B89" s="39" t="n"/>
      <c r="C89" s="39" t="n"/>
      <c r="D89" s="39" t="n"/>
      <c r="E89" s="39" t="n"/>
      <c r="F89" s="39" t="n"/>
      <c r="G89" s="107" t="n"/>
      <c r="H89" s="107" t="n"/>
      <c r="I89" s="108">
        <f>IF(G89&lt;&gt;"",G89-H89,"")</f>
        <v/>
      </c>
      <c r="J89" s="39" t="n"/>
      <c r="K89" s="39" t="n"/>
      <c r="L89" s="39" t="n"/>
      <c r="M89" s="39" t="n"/>
      <c r="N89" s="1" t="n"/>
      <c r="O89" s="1" t="n"/>
    </row>
    <row r="90" ht="18" customHeight="1">
      <c r="A90" s="104" t="n"/>
      <c r="B90" s="33" t="n"/>
      <c r="C90" s="33" t="n"/>
      <c r="D90" s="33" t="n"/>
      <c r="E90" s="33" t="n"/>
      <c r="F90" s="33" t="n"/>
      <c r="G90" s="109" t="n"/>
      <c r="H90" s="109" t="n"/>
      <c r="I90" s="110">
        <f>IF(G90&lt;&gt;"",G90-H90,"")</f>
        <v/>
      </c>
      <c r="J90" s="33" t="n"/>
      <c r="K90" s="33" t="n"/>
      <c r="L90" s="33" t="n"/>
      <c r="M90" s="33" t="n"/>
      <c r="N90" s="1" t="n"/>
      <c r="O90" s="1" t="n"/>
    </row>
    <row r="91" ht="18" customHeight="1">
      <c r="A91" s="104" t="n"/>
      <c r="B91" s="39" t="n"/>
      <c r="C91" s="39" t="n"/>
      <c r="D91" s="39" t="n"/>
      <c r="E91" s="39" t="n"/>
      <c r="F91" s="39" t="n"/>
      <c r="G91" s="107" t="n"/>
      <c r="H91" s="107" t="n"/>
      <c r="I91" s="108">
        <f>IF(G91&lt;&gt;"",G91-H91,"")</f>
        <v/>
      </c>
      <c r="J91" s="39" t="n"/>
      <c r="K91" s="39" t="n"/>
      <c r="L91" s="39" t="n"/>
      <c r="M91" s="39" t="n"/>
      <c r="N91" s="1" t="n"/>
      <c r="O91" s="1" t="n"/>
    </row>
    <row r="92" ht="18" customHeight="1">
      <c r="A92" s="104" t="n"/>
      <c r="B92" s="33" t="n"/>
      <c r="C92" s="33" t="n"/>
      <c r="D92" s="33" t="n"/>
      <c r="E92" s="33" t="n"/>
      <c r="F92" s="33" t="n"/>
      <c r="G92" s="109" t="n"/>
      <c r="H92" s="109" t="n"/>
      <c r="I92" s="110">
        <f>IF(G92&lt;&gt;"",G92-H92,"")</f>
        <v/>
      </c>
      <c r="J92" s="33" t="n"/>
      <c r="K92" s="33" t="n"/>
      <c r="L92" s="33" t="n"/>
      <c r="M92" s="33" t="n"/>
      <c r="N92" s="1" t="n"/>
      <c r="O92" s="1" t="n"/>
    </row>
    <row r="93" ht="18" customHeight="1">
      <c r="A93" s="104" t="n"/>
      <c r="B93" s="39" t="n"/>
      <c r="C93" s="39" t="n"/>
      <c r="D93" s="39" t="n"/>
      <c r="E93" s="39" t="n"/>
      <c r="F93" s="39" t="n"/>
      <c r="G93" s="107" t="n"/>
      <c r="H93" s="107" t="n"/>
      <c r="I93" s="108">
        <f>IF(G93&lt;&gt;"",G93-H93,"")</f>
        <v/>
      </c>
      <c r="J93" s="39" t="n"/>
      <c r="K93" s="39" t="n"/>
      <c r="L93" s="39" t="n"/>
      <c r="M93" s="39" t="n"/>
      <c r="N93" s="1" t="n"/>
      <c r="O93" s="1" t="n"/>
    </row>
    <row r="94" ht="18" customHeight="1">
      <c r="A94" s="104" t="n"/>
      <c r="B94" s="33" t="n"/>
      <c r="C94" s="33" t="n"/>
      <c r="D94" s="33" t="n"/>
      <c r="E94" s="33" t="n"/>
      <c r="F94" s="33" t="n"/>
      <c r="G94" s="109" t="n"/>
      <c r="H94" s="109" t="n"/>
      <c r="I94" s="110">
        <f>IF(G94&lt;&gt;"",G94-H94,"")</f>
        <v/>
      </c>
      <c r="J94" s="33" t="n"/>
      <c r="K94" s="33" t="n"/>
      <c r="L94" s="33" t="n"/>
      <c r="M94" s="33" t="n"/>
      <c r="N94" s="1" t="n"/>
      <c r="O94" s="1" t="n"/>
    </row>
    <row r="95" ht="18" customHeight="1">
      <c r="A95" s="104" t="n"/>
      <c r="B95" s="39" t="n"/>
      <c r="C95" s="39" t="n"/>
      <c r="D95" s="39" t="n"/>
      <c r="E95" s="39" t="n"/>
      <c r="F95" s="39" t="n"/>
      <c r="G95" s="107" t="n"/>
      <c r="H95" s="107" t="n"/>
      <c r="I95" s="108">
        <f>IF(G95&lt;&gt;"",G95-H95,"")</f>
        <v/>
      </c>
      <c r="J95" s="39" t="n"/>
      <c r="K95" s="39" t="n"/>
      <c r="L95" s="39" t="n"/>
      <c r="M95" s="39" t="n"/>
      <c r="N95" s="1" t="n"/>
      <c r="O95" s="1" t="n"/>
    </row>
    <row r="96" ht="18" customHeight="1">
      <c r="A96" s="104" t="n"/>
      <c r="B96" s="33" t="n"/>
      <c r="C96" s="33" t="n"/>
      <c r="D96" s="33" t="n"/>
      <c r="E96" s="33" t="n"/>
      <c r="F96" s="33" t="n"/>
      <c r="G96" s="109" t="n"/>
      <c r="H96" s="109" t="n"/>
      <c r="I96" s="110">
        <f>IF(G96&lt;&gt;"",G96-H96,"")</f>
        <v/>
      </c>
      <c r="J96" s="33" t="n"/>
      <c r="K96" s="33" t="n"/>
      <c r="L96" s="33" t="n"/>
      <c r="M96" s="33" t="n"/>
      <c r="N96" s="1" t="n"/>
      <c r="O96" s="1" t="n"/>
    </row>
    <row r="97" ht="18" customHeight="1">
      <c r="A97" s="104" t="n"/>
      <c r="B97" s="39" t="n"/>
      <c r="C97" s="39" t="n"/>
      <c r="D97" s="39" t="n"/>
      <c r="E97" s="39" t="n"/>
      <c r="F97" s="39" t="n"/>
      <c r="G97" s="107" t="n"/>
      <c r="H97" s="107" t="n"/>
      <c r="I97" s="108">
        <f>IF(G97&lt;&gt;"",G97-H97,"")</f>
        <v/>
      </c>
      <c r="J97" s="39" t="n"/>
      <c r="K97" s="39" t="n"/>
      <c r="L97" s="39" t="n"/>
      <c r="M97" s="39" t="n"/>
      <c r="N97" s="1" t="n"/>
      <c r="O97" s="1" t="n"/>
    </row>
    <row r="98" ht="18" customHeight="1">
      <c r="A98" s="104" t="n"/>
      <c r="B98" s="33" t="n"/>
      <c r="C98" s="33" t="n"/>
      <c r="D98" s="33" t="n"/>
      <c r="E98" s="33" t="n"/>
      <c r="F98" s="33" t="n"/>
      <c r="G98" s="109" t="n"/>
      <c r="H98" s="109" t="n"/>
      <c r="I98" s="110">
        <f>IF(G98&lt;&gt;"",G98-H98,"")</f>
        <v/>
      </c>
      <c r="J98" s="33" t="n"/>
      <c r="K98" s="33" t="n"/>
      <c r="L98" s="33" t="n"/>
      <c r="M98" s="33" t="n"/>
      <c r="N98" s="1" t="n"/>
      <c r="O98" s="1" t="n"/>
    </row>
    <row r="99" ht="18" customHeight="1">
      <c r="A99" s="104" t="n"/>
      <c r="B99" s="39" t="n"/>
      <c r="C99" s="39" t="n"/>
      <c r="D99" s="39" t="n"/>
      <c r="E99" s="39" t="n"/>
      <c r="F99" s="39" t="n"/>
      <c r="G99" s="107" t="n"/>
      <c r="H99" s="107" t="n"/>
      <c r="I99" s="108">
        <f>IF(G99&lt;&gt;"",G99-H99,"")</f>
        <v/>
      </c>
      <c r="J99" s="39" t="n"/>
      <c r="K99" s="39" t="n"/>
      <c r="L99" s="39" t="n"/>
      <c r="M99" s="39" t="n"/>
      <c r="N99" s="1" t="n"/>
      <c r="O99" s="1" t="n"/>
    </row>
    <row r="100" ht="18" customHeight="1">
      <c r="A100" s="104" t="n"/>
      <c r="B100" s="33" t="n"/>
      <c r="C100" s="33" t="n"/>
      <c r="D100" s="33" t="n"/>
      <c r="E100" s="33" t="n"/>
      <c r="F100" s="33" t="n"/>
      <c r="G100" s="109" t="n"/>
      <c r="H100" s="109" t="n"/>
      <c r="I100" s="110">
        <f>IF(G100&lt;&gt;"",G100-H100,"")</f>
        <v/>
      </c>
      <c r="J100" s="33" t="n"/>
      <c r="K100" s="33" t="n"/>
      <c r="L100" s="33" t="n"/>
      <c r="M100" s="33" t="n"/>
      <c r="N100" s="1" t="n"/>
      <c r="O100" s="1" t="n"/>
    </row>
    <row r="101" ht="18" customHeight="1">
      <c r="A101" s="104" t="n"/>
      <c r="B101" s="39" t="n"/>
      <c r="C101" s="39" t="n"/>
      <c r="D101" s="39" t="n"/>
      <c r="E101" s="39" t="n"/>
      <c r="F101" s="39" t="n"/>
      <c r="G101" s="107" t="n"/>
      <c r="H101" s="107" t="n"/>
      <c r="I101" s="108">
        <f>IF(G101&lt;&gt;"",G101-H101,"")</f>
        <v/>
      </c>
      <c r="J101" s="39" t="n"/>
      <c r="K101" s="39" t="n"/>
      <c r="L101" s="39" t="n"/>
      <c r="M101" s="39" t="n"/>
      <c r="N101" s="1" t="n"/>
      <c r="O101" s="1" t="n"/>
    </row>
    <row r="102" ht="18" customHeight="1">
      <c r="A102" s="104" t="n"/>
      <c r="B102" s="33" t="n"/>
      <c r="C102" s="33" t="n"/>
      <c r="D102" s="33" t="n"/>
      <c r="E102" s="33" t="n"/>
      <c r="F102" s="33" t="n"/>
      <c r="G102" s="109" t="n"/>
      <c r="H102" s="109" t="n"/>
      <c r="I102" s="110">
        <f>IF(G102&lt;&gt;"",G102-H102,"")</f>
        <v/>
      </c>
      <c r="J102" s="33" t="n"/>
      <c r="K102" s="33" t="n"/>
      <c r="L102" s="33" t="n"/>
      <c r="M102" s="33" t="n"/>
      <c r="N102" s="1" t="n"/>
      <c r="O102" s="1" t="n"/>
    </row>
    <row r="103" ht="18" customHeight="1">
      <c r="A103" s="104" t="n"/>
      <c r="B103" s="39" t="n"/>
      <c r="C103" s="39" t="n"/>
      <c r="D103" s="39" t="n"/>
      <c r="E103" s="39" t="n"/>
      <c r="F103" s="39" t="n"/>
      <c r="G103" s="107" t="n"/>
      <c r="H103" s="107" t="n"/>
      <c r="I103" s="108">
        <f>IF(G103&lt;&gt;"",G103-H103,"")</f>
        <v/>
      </c>
      <c r="J103" s="39" t="n"/>
      <c r="K103" s="39" t="n"/>
      <c r="L103" s="39" t="n"/>
      <c r="M103" s="39" t="n"/>
      <c r="N103" s="1" t="n"/>
      <c r="O103" s="1" t="n"/>
    </row>
    <row r="104" ht="18" customHeight="1">
      <c r="A104" s="104" t="n"/>
      <c r="B104" s="33" t="n"/>
      <c r="C104" s="33" t="n"/>
      <c r="D104" s="33" t="n"/>
      <c r="E104" s="33" t="n"/>
      <c r="F104" s="33" t="n"/>
      <c r="G104" s="109" t="n"/>
      <c r="H104" s="109" t="n"/>
      <c r="I104" s="110">
        <f>IF(G104&lt;&gt;"",G104-H104,"")</f>
        <v/>
      </c>
      <c r="J104" s="33" t="n"/>
      <c r="K104" s="33" t="n"/>
      <c r="L104" s="33" t="n"/>
      <c r="M104" s="33" t="n"/>
      <c r="N104" s="1" t="n"/>
      <c r="O104" s="1" t="n"/>
    </row>
    <row r="105">
      <c r="A105" s="104" t="n"/>
      <c r="B105" s="1" t="n"/>
      <c r="C105" s="1" t="n"/>
      <c r="D105" s="1" t="n"/>
      <c r="E105" s="1" t="n"/>
      <c r="F105" s="1" t="n"/>
      <c r="G105" s="111" t="n"/>
      <c r="H105" s="111" t="n"/>
      <c r="I105" s="112">
        <f>IF(G105&lt;&gt;"",G105-H105,"")</f>
        <v/>
      </c>
      <c r="J105" s="1" t="n"/>
      <c r="K105" s="1" t="n"/>
      <c r="L105" s="1" t="n"/>
      <c r="M105" s="1" t="n"/>
      <c r="N105" s="1" t="n"/>
      <c r="O105" s="1" t="n"/>
    </row>
    <row r="106" ht="24" customHeight="1">
      <c r="A106" s="104" t="n"/>
      <c r="B106" s="44" t="inlineStr">
        <is>
          <t>TOTAIS DO MÊS</t>
        </is>
      </c>
      <c r="G106" s="113">
        <f>SUM(G5:G105)</f>
        <v/>
      </c>
      <c r="H106" s="114">
        <f>SUM(H5:H105)</f>
        <v/>
      </c>
      <c r="I106" s="106">
        <f>IF(G106&lt;&gt;"",G106-H106,"")</f>
        <v/>
      </c>
      <c r="J106" s="1" t="n"/>
      <c r="K106" s="1" t="n"/>
      <c r="L106" s="1" t="n"/>
      <c r="M106" s="1" t="n"/>
      <c r="N106" s="1" t="n"/>
      <c r="O106" s="1" t="n"/>
    </row>
    <row r="107">
      <c r="A107" s="104" t="n"/>
      <c r="B107" s="1" t="n"/>
      <c r="C107" s="1" t="n"/>
      <c r="D107" s="1" t="n"/>
      <c r="E107" s="1" t="n"/>
      <c r="F107" s="1" t="n"/>
      <c r="G107" s="111" t="n"/>
      <c r="H107" s="111" t="n"/>
      <c r="I107" s="112">
        <f>IF(G107&lt;&gt;"",G107-H107,"")</f>
        <v/>
      </c>
      <c r="J107" s="1" t="n"/>
      <c r="K107" s="1" t="n"/>
      <c r="L107" s="1" t="n"/>
      <c r="M107" s="1" t="n"/>
      <c r="N107" s="1" t="n"/>
      <c r="O107" s="1" t="n"/>
    </row>
    <row r="108">
      <c r="A108" s="104" t="n"/>
      <c r="B108" s="1" t="n"/>
      <c r="C108" s="1" t="n"/>
      <c r="D108" s="1" t="n"/>
      <c r="E108" s="1" t="n"/>
      <c r="F108" s="1" t="n"/>
      <c r="G108" s="111" t="n"/>
      <c r="H108" s="111" t="n"/>
      <c r="I108" s="112">
        <f>IF(G108&lt;&gt;"",G108-H108,"")</f>
        <v/>
      </c>
      <c r="J108" s="1" t="n"/>
      <c r="K108" s="1" t="n"/>
      <c r="L108" s="1" t="n"/>
      <c r="M108" s="1" t="n"/>
      <c r="N108" s="1" t="n"/>
      <c r="O108" s="1" t="n"/>
    </row>
    <row r="109">
      <c r="A109" s="104" t="n"/>
      <c r="B109" s="1" t="n"/>
      <c r="C109" s="1" t="n"/>
      <c r="D109" s="1" t="n"/>
      <c r="E109" s="1" t="n"/>
      <c r="F109" s="1" t="n"/>
      <c r="G109" s="111" t="n"/>
      <c r="H109" s="111" t="n"/>
      <c r="I109" s="112">
        <f>IF(G109&lt;&gt;"",G109-H109,"")</f>
        <v/>
      </c>
      <c r="J109" s="1" t="n"/>
      <c r="K109" s="1" t="n"/>
      <c r="L109" s="1" t="n"/>
      <c r="M109" s="1" t="n"/>
      <c r="N109" s="1" t="n"/>
      <c r="O109" s="1" t="n"/>
    </row>
    <row r="110">
      <c r="A110" s="104" t="n"/>
      <c r="B110" s="1" t="n"/>
      <c r="C110" s="1" t="n"/>
      <c r="D110" s="1" t="n"/>
      <c r="E110" s="1" t="n"/>
      <c r="F110" s="1" t="n"/>
      <c r="G110" s="111" t="n"/>
      <c r="H110" s="111" t="n"/>
      <c r="I110" s="112">
        <f>IF(G110&lt;&gt;"",G110-H110,"")</f>
        <v/>
      </c>
      <c r="J110" s="1" t="n"/>
      <c r="K110" s="1" t="n"/>
      <c r="L110" s="1" t="n"/>
      <c r="M110" s="1" t="n"/>
      <c r="N110" s="1" t="n"/>
      <c r="O110" s="1" t="n"/>
    </row>
    <row r="111">
      <c r="A111" s="104" t="n"/>
      <c r="B111" s="1" t="n"/>
      <c r="C111" s="1" t="n"/>
      <c r="D111" s="1" t="n"/>
      <c r="E111" s="1" t="n"/>
      <c r="F111" s="1" t="n"/>
      <c r="G111" s="111" t="n"/>
      <c r="H111" s="111" t="n"/>
      <c r="I111" s="112">
        <f>IF(G111&lt;&gt;"",G111-H111,"")</f>
        <v/>
      </c>
      <c r="J111" s="1" t="n"/>
      <c r="K111" s="1" t="n"/>
      <c r="L111" s="1" t="n"/>
      <c r="M111" s="1" t="n"/>
      <c r="N111" s="1" t="n"/>
      <c r="O111" s="1" t="n"/>
    </row>
    <row r="112">
      <c r="A112" s="104" t="n"/>
      <c r="B112" s="1" t="n"/>
      <c r="C112" s="1" t="n"/>
      <c r="D112" s="1" t="n"/>
      <c r="E112" s="1" t="n"/>
      <c r="F112" s="1" t="n"/>
      <c r="G112" s="111" t="n"/>
      <c r="H112" s="111" t="n"/>
      <c r="I112" s="112">
        <f>IF(G112&lt;&gt;"",G112-H112,"")</f>
        <v/>
      </c>
      <c r="J112" s="1" t="n"/>
      <c r="K112" s="1" t="n"/>
      <c r="L112" s="1" t="n"/>
      <c r="M112" s="1" t="n"/>
      <c r="N112" s="1" t="n"/>
      <c r="O112" s="1" t="n"/>
    </row>
    <row r="113">
      <c r="A113" s="104" t="n"/>
      <c r="B113" s="1" t="n"/>
      <c r="C113" s="1" t="n"/>
      <c r="D113" s="1" t="n"/>
      <c r="E113" s="1" t="n"/>
      <c r="F113" s="1" t="n"/>
      <c r="G113" s="111" t="n"/>
      <c r="H113" s="111" t="n"/>
      <c r="I113" s="112">
        <f>IF(G113&lt;&gt;"",G113-H113,"")</f>
        <v/>
      </c>
      <c r="J113" s="1" t="n"/>
      <c r="K113" s="1" t="n"/>
      <c r="L113" s="1" t="n"/>
      <c r="M113" s="1" t="n"/>
      <c r="N113" s="1" t="n"/>
      <c r="O113" s="1" t="n"/>
    </row>
    <row r="114">
      <c r="A114" s="104" t="n"/>
      <c r="B114" s="1" t="n"/>
      <c r="C114" s="1" t="n"/>
      <c r="D114" s="1" t="n"/>
      <c r="E114" s="1" t="n"/>
      <c r="F114" s="1" t="n"/>
      <c r="G114" s="111" t="n"/>
      <c r="H114" s="111" t="n"/>
      <c r="I114" s="112">
        <f>IF(G114&lt;&gt;"",G114-H114,"")</f>
        <v/>
      </c>
      <c r="J114" s="1" t="n"/>
      <c r="K114" s="1" t="n"/>
      <c r="L114" s="1" t="n"/>
      <c r="M114" s="1" t="n"/>
      <c r="N114" s="1" t="n"/>
      <c r="O114" s="1" t="n"/>
    </row>
    <row r="115">
      <c r="A115" s="104" t="n"/>
      <c r="B115" s="1" t="n"/>
      <c r="C115" s="1" t="n"/>
      <c r="D115" s="1" t="n"/>
      <c r="E115" s="1" t="n"/>
      <c r="F115" s="1" t="n"/>
      <c r="G115" s="111" t="n"/>
      <c r="H115" s="111" t="n"/>
      <c r="I115" s="112">
        <f>IF(G115&lt;&gt;"",G115-H115,"")</f>
        <v/>
      </c>
      <c r="J115" s="1" t="n"/>
      <c r="K115" s="1" t="n"/>
      <c r="L115" s="1" t="n"/>
      <c r="M115" s="1" t="n"/>
      <c r="N115" s="1" t="n"/>
      <c r="O115" s="1" t="n"/>
    </row>
    <row r="116">
      <c r="A116" s="104" t="n"/>
      <c r="B116" s="1" t="n"/>
      <c r="C116" s="1" t="n"/>
      <c r="D116" s="1" t="n"/>
      <c r="E116" s="1" t="n"/>
      <c r="F116" s="1" t="n"/>
      <c r="G116" s="111" t="n"/>
      <c r="H116" s="111" t="n"/>
      <c r="I116" s="112">
        <f>IF(G116&lt;&gt;"",G116-H116,"")</f>
        <v/>
      </c>
      <c r="J116" s="1" t="n"/>
      <c r="K116" s="1" t="n"/>
      <c r="L116" s="1" t="n"/>
      <c r="M116" s="1" t="n"/>
      <c r="N116" s="1" t="n"/>
      <c r="O116" s="1" t="n"/>
    </row>
    <row r="117">
      <c r="A117" s="104" t="n"/>
      <c r="B117" s="1" t="n"/>
      <c r="C117" s="1" t="n"/>
      <c r="D117" s="1" t="n"/>
      <c r="E117" s="1" t="n"/>
      <c r="F117" s="1" t="n"/>
      <c r="G117" s="111" t="n"/>
      <c r="H117" s="111" t="n"/>
      <c r="I117" s="112">
        <f>IF(G117&lt;&gt;"",G117-H117,"")</f>
        <v/>
      </c>
      <c r="J117" s="1" t="n"/>
      <c r="K117" s="1" t="n"/>
      <c r="L117" s="1" t="n"/>
      <c r="M117" s="1" t="n"/>
      <c r="N117" s="1" t="n"/>
      <c r="O117" s="1" t="n"/>
    </row>
    <row r="118">
      <c r="A118" s="104" t="n"/>
      <c r="B118" s="1" t="n"/>
      <c r="C118" s="1" t="n"/>
      <c r="D118" s="1" t="n"/>
      <c r="E118" s="1" t="n"/>
      <c r="F118" s="1" t="n"/>
      <c r="G118" s="111" t="n"/>
      <c r="H118" s="111" t="n"/>
      <c r="I118" s="112">
        <f>IF(G118&lt;&gt;"",G118-H118,"")</f>
        <v/>
      </c>
      <c r="J118" s="1" t="n"/>
      <c r="K118" s="1" t="n"/>
      <c r="L118" s="1" t="n"/>
      <c r="M118" s="1" t="n"/>
      <c r="N118" s="1" t="n"/>
      <c r="O118" s="1" t="n"/>
    </row>
    <row r="119">
      <c r="A119" s="104" t="n"/>
      <c r="B119" s="1" t="n"/>
      <c r="C119" s="1" t="n"/>
      <c r="D119" s="1" t="n"/>
      <c r="E119" s="1" t="n"/>
      <c r="F119" s="1" t="n"/>
      <c r="G119" s="111" t="n"/>
      <c r="H119" s="111" t="n"/>
      <c r="I119" s="112">
        <f>IF(G119&lt;&gt;"",G119-H119,"")</f>
        <v/>
      </c>
      <c r="J119" s="1" t="n"/>
      <c r="K119" s="1" t="n"/>
      <c r="L119" s="1" t="n"/>
      <c r="M119" s="1" t="n"/>
      <c r="N119" s="1" t="n"/>
      <c r="O119" s="1" t="n"/>
    </row>
    <row r="120">
      <c r="A120" s="104" t="n"/>
      <c r="B120" s="1" t="n"/>
      <c r="C120" s="1" t="n"/>
      <c r="D120" s="1" t="n"/>
      <c r="E120" s="1" t="n"/>
      <c r="F120" s="1" t="n"/>
      <c r="G120" s="111" t="n"/>
      <c r="H120" s="111" t="n"/>
      <c r="I120" s="112">
        <f>IF(G120&lt;&gt;"",G120-H120,"")</f>
        <v/>
      </c>
      <c r="J120" s="1" t="n"/>
      <c r="K120" s="1" t="n"/>
      <c r="L120" s="1" t="n"/>
      <c r="M120" s="1" t="n"/>
      <c r="N120" s="1" t="n"/>
      <c r="O120" s="1" t="n"/>
    </row>
    <row r="121">
      <c r="A121" s="104" t="n"/>
      <c r="B121" s="1" t="n"/>
      <c r="C121" s="1" t="n"/>
      <c r="D121" s="1" t="n"/>
      <c r="E121" s="1" t="n"/>
      <c r="F121" s="1" t="n"/>
      <c r="G121" s="111" t="n"/>
      <c r="H121" s="111" t="n"/>
      <c r="I121" s="112">
        <f>IF(G121&lt;&gt;"",G121-H121,"")</f>
        <v/>
      </c>
      <c r="J121" s="1" t="n"/>
      <c r="K121" s="1" t="n"/>
      <c r="L121" s="1" t="n"/>
      <c r="M121" s="1" t="n"/>
      <c r="N121" s="1" t="n"/>
      <c r="O121" s="1" t="n"/>
    </row>
    <row r="122">
      <c r="A122" s="104" t="n"/>
      <c r="B122" s="1" t="n"/>
      <c r="C122" s="1" t="n"/>
      <c r="D122" s="1" t="n"/>
      <c r="E122" s="1" t="n"/>
      <c r="F122" s="1" t="n"/>
      <c r="G122" s="111" t="n"/>
      <c r="H122" s="111" t="n"/>
      <c r="I122" s="112">
        <f>IF(G122&lt;&gt;"",G122-H122,"")</f>
        <v/>
      </c>
      <c r="J122" s="1" t="n"/>
      <c r="K122" s="1" t="n"/>
      <c r="L122" s="1" t="n"/>
      <c r="M122" s="1" t="n"/>
      <c r="N122" s="1" t="n"/>
      <c r="O122" s="1" t="n"/>
    </row>
    <row r="123">
      <c r="A123" s="104" t="n"/>
      <c r="B123" s="1" t="n"/>
      <c r="C123" s="1" t="n"/>
      <c r="D123" s="1" t="n"/>
      <c r="E123" s="1" t="n"/>
      <c r="F123" s="1" t="n"/>
      <c r="G123" s="111" t="n"/>
      <c r="H123" s="111" t="n"/>
      <c r="I123" s="112">
        <f>IF(G123&lt;&gt;"",G123-H123,"")</f>
        <v/>
      </c>
      <c r="J123" s="1" t="n"/>
      <c r="K123" s="1" t="n"/>
      <c r="L123" s="1" t="n"/>
      <c r="M123" s="1" t="n"/>
      <c r="N123" s="1" t="n"/>
      <c r="O123" s="1" t="n"/>
    </row>
    <row r="124">
      <c r="A124" s="104" t="n"/>
      <c r="B124" s="1" t="n"/>
      <c r="C124" s="1" t="n"/>
      <c r="D124" s="1" t="n"/>
      <c r="E124" s="1" t="n"/>
      <c r="F124" s="1" t="n"/>
      <c r="G124" s="111" t="n"/>
      <c r="H124" s="111" t="n"/>
      <c r="I124" s="112">
        <f>IF(G124&lt;&gt;"",G124-H124,"")</f>
        <v/>
      </c>
      <c r="J124" s="1" t="n"/>
      <c r="K124" s="1" t="n"/>
      <c r="L124" s="1" t="n"/>
      <c r="M124" s="1" t="n"/>
      <c r="N124" s="1" t="n"/>
      <c r="O124" s="1" t="n"/>
    </row>
    <row r="125">
      <c r="A125" s="104" t="n"/>
      <c r="B125" s="1" t="n"/>
      <c r="C125" s="1" t="n"/>
      <c r="D125" s="1" t="n"/>
      <c r="E125" s="1" t="n"/>
      <c r="F125" s="1" t="n"/>
      <c r="G125" s="111" t="n"/>
      <c r="H125" s="111" t="n"/>
      <c r="I125" s="112">
        <f>IF(G125&lt;&gt;"",G125-H125,"")</f>
        <v/>
      </c>
      <c r="J125" s="1" t="n"/>
      <c r="K125" s="1" t="n"/>
      <c r="L125" s="1" t="n"/>
      <c r="M125" s="1" t="n"/>
      <c r="N125" s="1" t="n"/>
      <c r="O125" s="1" t="n"/>
    </row>
    <row r="126">
      <c r="A126" s="104" t="n"/>
      <c r="B126" s="1" t="n"/>
      <c r="C126" s="1" t="n"/>
      <c r="D126" s="1" t="n"/>
      <c r="E126" s="1" t="n"/>
      <c r="F126" s="1" t="n"/>
      <c r="G126" s="111" t="n"/>
      <c r="H126" s="111" t="n"/>
      <c r="I126" s="112">
        <f>IF(G126&lt;&gt;"",G126-H126,"")</f>
        <v/>
      </c>
      <c r="J126" s="1" t="n"/>
      <c r="K126" s="1" t="n"/>
      <c r="L126" s="1" t="n"/>
      <c r="M126" s="1" t="n"/>
      <c r="N126" s="1" t="n"/>
      <c r="O126" s="1" t="n"/>
    </row>
    <row r="127">
      <c r="A127" s="104" t="n"/>
      <c r="B127" s="1" t="n"/>
      <c r="C127" s="1" t="n"/>
      <c r="D127" s="1" t="n"/>
      <c r="E127" s="1" t="n"/>
      <c r="F127" s="1" t="n"/>
      <c r="G127" s="111" t="n"/>
      <c r="H127" s="111" t="n"/>
      <c r="I127" s="112">
        <f>IF(G127&lt;&gt;"",G127-H127,"")</f>
        <v/>
      </c>
      <c r="J127" s="1" t="n"/>
      <c r="K127" s="1" t="n"/>
      <c r="L127" s="1" t="n"/>
      <c r="M127" s="1" t="n"/>
      <c r="N127" s="1" t="n"/>
      <c r="O127" s="1" t="n"/>
    </row>
    <row r="128">
      <c r="A128" s="104" t="n"/>
      <c r="B128" s="1" t="n"/>
      <c r="C128" s="1" t="n"/>
      <c r="D128" s="1" t="n"/>
      <c r="E128" s="1" t="n"/>
      <c r="F128" s="1" t="n"/>
      <c r="G128" s="111" t="n"/>
      <c r="H128" s="111" t="n"/>
      <c r="I128" s="112">
        <f>IF(G128&lt;&gt;"",G128-H128,"")</f>
        <v/>
      </c>
      <c r="J128" s="1" t="n"/>
      <c r="K128" s="1" t="n"/>
      <c r="L128" s="1" t="n"/>
      <c r="M128" s="1" t="n"/>
      <c r="N128" s="1" t="n"/>
      <c r="O128" s="1" t="n"/>
    </row>
    <row r="129">
      <c r="A129" s="104" t="n"/>
      <c r="B129" s="1" t="n"/>
      <c r="C129" s="1" t="n"/>
      <c r="D129" s="1" t="n"/>
      <c r="E129" s="1" t="n"/>
      <c r="F129" s="1" t="n"/>
      <c r="G129" s="111" t="n"/>
      <c r="H129" s="111" t="n"/>
      <c r="I129" s="112">
        <f>IF(G129&lt;&gt;"",G129-H129,"")</f>
        <v/>
      </c>
      <c r="J129" s="1" t="n"/>
      <c r="K129" s="1" t="n"/>
      <c r="L129" s="1" t="n"/>
      <c r="M129" s="1" t="n"/>
      <c r="N129" s="1" t="n"/>
      <c r="O129" s="1" t="n"/>
    </row>
    <row r="130">
      <c r="A130" s="104" t="n"/>
      <c r="B130" s="1" t="n"/>
      <c r="C130" s="1" t="n"/>
      <c r="D130" s="1" t="n"/>
      <c r="E130" s="1" t="n"/>
      <c r="F130" s="1" t="n"/>
      <c r="G130" s="111" t="n"/>
      <c r="H130" s="111" t="n"/>
      <c r="I130" s="112">
        <f>IF(G130&lt;&gt;"",G130-H130,"")</f>
        <v/>
      </c>
      <c r="J130" s="1" t="n"/>
      <c r="K130" s="1" t="n"/>
      <c r="L130" s="1" t="n"/>
      <c r="M130" s="1" t="n"/>
      <c r="N130" s="1" t="n"/>
      <c r="O130" s="1" t="n"/>
    </row>
    <row r="131">
      <c r="A131" s="104" t="n"/>
      <c r="B131" s="1" t="n"/>
      <c r="C131" s="1" t="n"/>
      <c r="D131" s="1" t="n"/>
      <c r="E131" s="1" t="n"/>
      <c r="F131" s="1" t="n"/>
      <c r="G131" s="111" t="n"/>
      <c r="H131" s="111" t="n"/>
      <c r="I131" s="112">
        <f>IF(G131&lt;&gt;"",G131-H131,"")</f>
        <v/>
      </c>
      <c r="J131" s="1" t="n"/>
      <c r="K131" s="1" t="n"/>
      <c r="L131" s="1" t="n"/>
      <c r="M131" s="1" t="n"/>
      <c r="N131" s="1" t="n"/>
      <c r="O131" s="1" t="n"/>
    </row>
    <row r="132">
      <c r="A132" s="104" t="n"/>
      <c r="B132" s="1" t="n"/>
      <c r="C132" s="1" t="n"/>
      <c r="D132" s="1" t="n"/>
      <c r="E132" s="1" t="n"/>
      <c r="F132" s="1" t="n"/>
      <c r="G132" s="111" t="n"/>
      <c r="H132" s="111" t="n"/>
      <c r="I132" s="112">
        <f>IF(G132&lt;&gt;"",G132-H132,"")</f>
        <v/>
      </c>
      <c r="J132" s="1" t="n"/>
      <c r="K132" s="1" t="n"/>
      <c r="L132" s="1" t="n"/>
      <c r="M132" s="1" t="n"/>
      <c r="N132" s="1" t="n"/>
      <c r="O132" s="1" t="n"/>
    </row>
    <row r="133">
      <c r="A133" s="104" t="n"/>
      <c r="B133" s="1" t="n"/>
      <c r="C133" s="1" t="n"/>
      <c r="D133" s="1" t="n"/>
      <c r="E133" s="1" t="n"/>
      <c r="F133" s="1" t="n"/>
      <c r="G133" s="111" t="n"/>
      <c r="H133" s="111" t="n"/>
      <c r="I133" s="112">
        <f>IF(G133&lt;&gt;"",G133-H133,"")</f>
        <v/>
      </c>
      <c r="J133" s="1" t="n"/>
      <c r="K133" s="1" t="n"/>
      <c r="L133" s="1" t="n"/>
      <c r="M133" s="1" t="n"/>
      <c r="N133" s="1" t="n"/>
      <c r="O133" s="1" t="n"/>
    </row>
    <row r="134">
      <c r="A134" s="104" t="n"/>
      <c r="B134" s="1" t="n"/>
      <c r="C134" s="1" t="n"/>
      <c r="D134" s="1" t="n"/>
      <c r="E134" s="1" t="n"/>
      <c r="F134" s="1" t="n"/>
      <c r="G134" s="111" t="n"/>
      <c r="H134" s="111" t="n"/>
      <c r="I134" s="112">
        <f>IF(G134&lt;&gt;"",G134-H134,"")</f>
        <v/>
      </c>
      <c r="J134" s="1" t="n"/>
      <c r="K134" s="1" t="n"/>
      <c r="L134" s="1" t="n"/>
      <c r="M134" s="1" t="n"/>
      <c r="N134" s="1" t="n"/>
      <c r="O134" s="1" t="n"/>
    </row>
    <row r="135">
      <c r="A135" s="104" t="n"/>
      <c r="B135" s="1" t="n"/>
      <c r="C135" s="1" t="n"/>
      <c r="D135" s="1" t="n"/>
      <c r="E135" s="1" t="n"/>
      <c r="F135" s="1" t="n"/>
      <c r="G135" s="111" t="n"/>
      <c r="H135" s="111" t="n"/>
      <c r="I135" s="112">
        <f>IF(G135&lt;&gt;"",G135-H135,"")</f>
        <v/>
      </c>
      <c r="J135" s="1" t="n"/>
      <c r="K135" s="1" t="n"/>
      <c r="L135" s="1" t="n"/>
      <c r="M135" s="1" t="n"/>
      <c r="N135" s="1" t="n"/>
      <c r="O135" s="1" t="n"/>
    </row>
    <row r="136">
      <c r="A136" s="104" t="n"/>
      <c r="B136" s="1" t="n"/>
      <c r="C136" s="1" t="n"/>
      <c r="D136" s="1" t="n"/>
      <c r="E136" s="1" t="n"/>
      <c r="F136" s="1" t="n"/>
      <c r="G136" s="111" t="n"/>
      <c r="H136" s="111" t="n"/>
      <c r="I136" s="112">
        <f>IF(G136&lt;&gt;"",G136-H136,"")</f>
        <v/>
      </c>
      <c r="J136" s="1" t="n"/>
      <c r="K136" s="1" t="n"/>
      <c r="L136" s="1" t="n"/>
      <c r="M136" s="1" t="n"/>
      <c r="N136" s="1" t="n"/>
      <c r="O136" s="1" t="n"/>
    </row>
    <row r="137">
      <c r="A137" s="104" t="n"/>
      <c r="B137" s="1" t="n"/>
      <c r="C137" s="1" t="n"/>
      <c r="D137" s="1" t="n"/>
      <c r="E137" s="1" t="n"/>
      <c r="F137" s="1" t="n"/>
      <c r="G137" s="111" t="n"/>
      <c r="H137" s="111" t="n"/>
      <c r="I137" s="112">
        <f>IF(G137&lt;&gt;"",G137-H137,"")</f>
        <v/>
      </c>
      <c r="J137" s="1" t="n"/>
      <c r="K137" s="1" t="n"/>
      <c r="L137" s="1" t="n"/>
      <c r="M137" s="1" t="n"/>
      <c r="N137" s="1" t="n"/>
      <c r="O137" s="1" t="n"/>
    </row>
    <row r="138">
      <c r="A138" s="104" t="n"/>
      <c r="B138" s="1" t="n"/>
      <c r="C138" s="1" t="n"/>
      <c r="D138" s="1" t="n"/>
      <c r="E138" s="1" t="n"/>
      <c r="F138" s="1" t="n"/>
      <c r="G138" s="111" t="n"/>
      <c r="H138" s="111" t="n"/>
      <c r="I138" s="112">
        <f>IF(G138&lt;&gt;"",G138-H138,"")</f>
        <v/>
      </c>
      <c r="J138" s="1" t="n"/>
      <c r="K138" s="1" t="n"/>
      <c r="L138" s="1" t="n"/>
      <c r="M138" s="1" t="n"/>
      <c r="N138" s="1" t="n"/>
      <c r="O138" s="1" t="n"/>
    </row>
    <row r="139">
      <c r="A139" s="104" t="n"/>
      <c r="B139" s="1" t="n"/>
      <c r="C139" s="1" t="n"/>
      <c r="D139" s="1" t="n"/>
      <c r="E139" s="1" t="n"/>
      <c r="F139" s="1" t="n"/>
      <c r="G139" s="111" t="n"/>
      <c r="H139" s="111" t="n"/>
      <c r="I139" s="112">
        <f>IF(G139&lt;&gt;"",G139-H139,"")</f>
        <v/>
      </c>
      <c r="J139" s="1" t="n"/>
      <c r="K139" s="1" t="n"/>
      <c r="L139" s="1" t="n"/>
      <c r="M139" s="1" t="n"/>
      <c r="N139" s="1" t="n"/>
      <c r="O139" s="1" t="n"/>
    </row>
    <row r="140">
      <c r="A140" s="104" t="n"/>
      <c r="B140" s="1" t="n"/>
      <c r="C140" s="1" t="n"/>
      <c r="D140" s="1" t="n"/>
      <c r="E140" s="1" t="n"/>
      <c r="F140" s="1" t="n"/>
      <c r="G140" s="111" t="n"/>
      <c r="H140" s="111" t="n"/>
      <c r="I140" s="112">
        <f>IF(G140&lt;&gt;"",G140-H140,"")</f>
        <v/>
      </c>
      <c r="J140" s="1" t="n"/>
      <c r="K140" s="1" t="n"/>
      <c r="L140" s="1" t="n"/>
      <c r="M140" s="1" t="n"/>
      <c r="N140" s="1" t="n"/>
      <c r="O140" s="1" t="n"/>
    </row>
    <row r="141">
      <c r="A141" s="104" t="n"/>
      <c r="B141" s="1" t="n"/>
      <c r="C141" s="1" t="n"/>
      <c r="D141" s="1" t="n"/>
      <c r="E141" s="1" t="n"/>
      <c r="F141" s="1" t="n"/>
      <c r="G141" s="111" t="n"/>
      <c r="H141" s="111" t="n"/>
      <c r="I141" s="112">
        <f>IF(G141&lt;&gt;"",G141-H141,"")</f>
        <v/>
      </c>
      <c r="J141" s="1" t="n"/>
      <c r="K141" s="1" t="n"/>
      <c r="L141" s="1" t="n"/>
      <c r="M141" s="1" t="n"/>
      <c r="N141" s="1" t="n"/>
      <c r="O141" s="1" t="n"/>
    </row>
    <row r="142">
      <c r="A142" s="104" t="n"/>
      <c r="B142" s="1" t="n"/>
      <c r="C142" s="1" t="n"/>
      <c r="D142" s="1" t="n"/>
      <c r="E142" s="1" t="n"/>
      <c r="F142" s="1" t="n"/>
      <c r="G142" s="111" t="n"/>
      <c r="H142" s="111" t="n"/>
      <c r="I142" s="112">
        <f>IF(G142&lt;&gt;"",G142-H142,"")</f>
        <v/>
      </c>
      <c r="J142" s="1" t="n"/>
      <c r="K142" s="1" t="n"/>
      <c r="L142" s="1" t="n"/>
      <c r="M142" s="1" t="n"/>
      <c r="N142" s="1" t="n"/>
      <c r="O142" s="1" t="n"/>
    </row>
    <row r="143">
      <c r="A143" s="104" t="n"/>
      <c r="B143" s="1" t="n"/>
      <c r="C143" s="1" t="n"/>
      <c r="D143" s="1" t="n"/>
      <c r="E143" s="1" t="n"/>
      <c r="F143" s="1" t="n"/>
      <c r="G143" s="111" t="n"/>
      <c r="H143" s="111" t="n"/>
      <c r="I143" s="112">
        <f>IF(G143&lt;&gt;"",G143-H143,"")</f>
        <v/>
      </c>
      <c r="J143" s="1" t="n"/>
      <c r="K143" s="1" t="n"/>
      <c r="L143" s="1" t="n"/>
      <c r="M143" s="1" t="n"/>
      <c r="N143" s="1" t="n"/>
      <c r="O143" s="1" t="n"/>
    </row>
    <row r="144">
      <c r="A144" s="104" t="n"/>
      <c r="B144" s="1" t="n"/>
      <c r="C144" s="1" t="n"/>
      <c r="D144" s="1" t="n"/>
      <c r="E144" s="1" t="n"/>
      <c r="F144" s="1" t="n"/>
      <c r="G144" s="111" t="n"/>
      <c r="H144" s="111" t="n"/>
      <c r="I144" s="112">
        <f>IF(G144&lt;&gt;"",G144-H144,"")</f>
        <v/>
      </c>
      <c r="J144" s="1" t="n"/>
      <c r="K144" s="1" t="n"/>
      <c r="L144" s="1" t="n"/>
      <c r="M144" s="1" t="n"/>
      <c r="N144" s="1" t="n"/>
      <c r="O144" s="1" t="n"/>
    </row>
    <row r="145">
      <c r="A145" s="104" t="n"/>
      <c r="B145" s="1" t="n"/>
      <c r="C145" s="1" t="n"/>
      <c r="D145" s="1" t="n"/>
      <c r="E145" s="1" t="n"/>
      <c r="F145" s="1" t="n"/>
      <c r="G145" s="111" t="n"/>
      <c r="H145" s="111" t="n"/>
      <c r="I145" s="112">
        <f>IF(G145&lt;&gt;"",G145-H145,"")</f>
        <v/>
      </c>
      <c r="J145" s="1" t="n"/>
      <c r="K145" s="1" t="n"/>
      <c r="L145" s="1" t="n"/>
      <c r="M145" s="1" t="n"/>
      <c r="N145" s="1" t="n"/>
      <c r="O145" s="1" t="n"/>
    </row>
    <row r="146">
      <c r="A146" s="104" t="n"/>
      <c r="B146" s="1" t="n"/>
      <c r="C146" s="1" t="n"/>
      <c r="D146" s="1" t="n"/>
      <c r="E146" s="1" t="n"/>
      <c r="F146" s="1" t="n"/>
      <c r="G146" s="111" t="n"/>
      <c r="H146" s="111" t="n"/>
      <c r="I146" s="112">
        <f>IF(G146&lt;&gt;"",G146-H146,"")</f>
        <v/>
      </c>
      <c r="J146" s="1" t="n"/>
      <c r="K146" s="1" t="n"/>
      <c r="L146" s="1" t="n"/>
      <c r="M146" s="1" t="n"/>
      <c r="N146" s="1" t="n"/>
      <c r="O146" s="1" t="n"/>
    </row>
    <row r="147">
      <c r="A147" s="104" t="n"/>
      <c r="B147" s="1" t="n"/>
      <c r="C147" s="1" t="n"/>
      <c r="D147" s="1" t="n"/>
      <c r="E147" s="1" t="n"/>
      <c r="F147" s="1" t="n"/>
      <c r="G147" s="111" t="n"/>
      <c r="H147" s="111" t="n"/>
      <c r="I147" s="112">
        <f>IF(G147&lt;&gt;"",G147-H147,"")</f>
        <v/>
      </c>
      <c r="J147" s="1" t="n"/>
      <c r="K147" s="1" t="n"/>
      <c r="L147" s="1" t="n"/>
      <c r="M147" s="1" t="n"/>
      <c r="N147" s="1" t="n"/>
      <c r="O147" s="1" t="n"/>
    </row>
    <row r="148">
      <c r="A148" s="104" t="n"/>
      <c r="B148" s="1" t="n"/>
      <c r="C148" s="1" t="n"/>
      <c r="D148" s="1" t="n"/>
      <c r="E148" s="1" t="n"/>
      <c r="F148" s="1" t="n"/>
      <c r="G148" s="111" t="n"/>
      <c r="H148" s="111" t="n"/>
      <c r="I148" s="112">
        <f>IF(G148&lt;&gt;"",G148-H148,"")</f>
        <v/>
      </c>
      <c r="J148" s="1" t="n"/>
      <c r="K148" s="1" t="n"/>
      <c r="L148" s="1" t="n"/>
      <c r="M148" s="1" t="n"/>
      <c r="N148" s="1" t="n"/>
      <c r="O148" s="1" t="n"/>
    </row>
    <row r="149">
      <c r="A149" s="104" t="n"/>
      <c r="B149" s="1" t="n"/>
      <c r="C149" s="1" t="n"/>
      <c r="D149" s="1" t="n"/>
      <c r="E149" s="1" t="n"/>
      <c r="F149" s="1" t="n"/>
      <c r="G149" s="111" t="n"/>
      <c r="H149" s="111" t="n"/>
      <c r="I149" s="112">
        <f>IF(G149&lt;&gt;"",G149-H149,"")</f>
        <v/>
      </c>
      <c r="J149" s="1" t="n"/>
      <c r="K149" s="1" t="n"/>
      <c r="L149" s="1" t="n"/>
      <c r="M149" s="1" t="n"/>
      <c r="N149" s="1" t="n"/>
      <c r="O149" s="1" t="n"/>
    </row>
    <row r="150">
      <c r="A150" s="104" t="n"/>
      <c r="B150" s="1" t="n"/>
      <c r="C150" s="1" t="n"/>
      <c r="D150" s="1" t="n"/>
      <c r="E150" s="1" t="n"/>
      <c r="F150" s="1" t="n"/>
      <c r="G150" s="111" t="n"/>
      <c r="H150" s="111" t="n"/>
      <c r="I150" s="112">
        <f>IF(G150&lt;&gt;"",G150-H150,"")</f>
        <v/>
      </c>
      <c r="J150" s="1" t="n"/>
      <c r="K150" s="1" t="n"/>
      <c r="L150" s="1" t="n"/>
      <c r="M150" s="1" t="n"/>
      <c r="N150" s="1" t="n"/>
      <c r="O150" s="1" t="n"/>
    </row>
    <row r="151">
      <c r="A151" s="104" t="n"/>
      <c r="B151" s="1" t="n"/>
      <c r="C151" s="1" t="n"/>
      <c r="D151" s="1" t="n"/>
      <c r="E151" s="1" t="n"/>
      <c r="F151" s="1" t="n"/>
      <c r="G151" s="111" t="n"/>
      <c r="H151" s="111" t="n"/>
      <c r="I151" s="112">
        <f>IF(G151&lt;&gt;"",G151-H151,"")</f>
        <v/>
      </c>
      <c r="J151" s="1" t="n"/>
      <c r="K151" s="1" t="n"/>
      <c r="L151" s="1" t="n"/>
      <c r="M151" s="1" t="n"/>
      <c r="N151" s="1" t="n"/>
      <c r="O151" s="1" t="n"/>
    </row>
    <row r="152">
      <c r="A152" s="104" t="n"/>
      <c r="B152" s="1" t="n"/>
      <c r="C152" s="1" t="n"/>
      <c r="D152" s="1" t="n"/>
      <c r="E152" s="1" t="n"/>
      <c r="F152" s="1" t="n"/>
      <c r="G152" s="111" t="n"/>
      <c r="H152" s="111" t="n"/>
      <c r="I152" s="112">
        <f>IF(G152&lt;&gt;"",G152-H152,"")</f>
        <v/>
      </c>
      <c r="J152" s="1" t="n"/>
      <c r="K152" s="1" t="n"/>
      <c r="L152" s="1" t="n"/>
      <c r="M152" s="1" t="n"/>
      <c r="N152" s="1" t="n"/>
      <c r="O152" s="1" t="n"/>
    </row>
    <row r="153">
      <c r="A153" s="104" t="n"/>
      <c r="B153" s="1" t="n"/>
      <c r="C153" s="1" t="n"/>
      <c r="D153" s="1" t="n"/>
      <c r="E153" s="1" t="n"/>
      <c r="F153" s="1" t="n"/>
      <c r="G153" s="111" t="n"/>
      <c r="H153" s="111" t="n"/>
      <c r="I153" s="112">
        <f>IF(G153&lt;&gt;"",G153-H153,"")</f>
        <v/>
      </c>
      <c r="J153" s="1" t="n"/>
      <c r="K153" s="1" t="n"/>
      <c r="L153" s="1" t="n"/>
      <c r="M153" s="1" t="n"/>
      <c r="N153" s="1" t="n"/>
      <c r="O153" s="1" t="n"/>
    </row>
    <row r="154">
      <c r="A154" s="104" t="n"/>
      <c r="B154" s="1" t="n"/>
      <c r="C154" s="1" t="n"/>
      <c r="D154" s="1" t="n"/>
      <c r="E154" s="1" t="n"/>
      <c r="F154" s="1" t="n"/>
      <c r="G154" s="111" t="n"/>
      <c r="H154" s="111" t="n"/>
      <c r="I154" s="112">
        <f>IF(G154&lt;&gt;"",G154-H154,"")</f>
        <v/>
      </c>
      <c r="J154" s="1" t="n"/>
      <c r="K154" s="1" t="n"/>
      <c r="L154" s="1" t="n"/>
      <c r="M154" s="1" t="n"/>
      <c r="N154" s="1" t="n"/>
      <c r="O154" s="1" t="n"/>
    </row>
    <row r="155">
      <c r="A155" s="104" t="n"/>
      <c r="B155" s="1" t="n"/>
      <c r="C155" s="1" t="n"/>
      <c r="D155" s="1" t="n"/>
      <c r="E155" s="1" t="n"/>
      <c r="F155" s="1" t="n"/>
      <c r="G155" s="111" t="n"/>
      <c r="H155" s="111" t="n"/>
      <c r="I155" s="112">
        <f>IF(G155&lt;&gt;"",G155-H155,"")</f>
        <v/>
      </c>
      <c r="J155" s="1" t="n"/>
      <c r="K155" s="1" t="n"/>
      <c r="L155" s="1" t="n"/>
      <c r="M155" s="1" t="n"/>
      <c r="N155" s="1" t="n"/>
      <c r="O155" s="1" t="n"/>
    </row>
    <row r="156">
      <c r="A156" s="104" t="n"/>
      <c r="B156" s="1" t="n"/>
      <c r="C156" s="1" t="n"/>
      <c r="D156" s="1" t="n"/>
      <c r="E156" s="1" t="n"/>
      <c r="F156" s="1" t="n"/>
      <c r="G156" s="111" t="n"/>
      <c r="H156" s="111" t="n"/>
      <c r="I156" s="112">
        <f>IF(G156&lt;&gt;"",G156-H156,"")</f>
        <v/>
      </c>
      <c r="J156" s="1" t="n"/>
      <c r="K156" s="1" t="n"/>
      <c r="L156" s="1" t="n"/>
      <c r="M156" s="1" t="n"/>
      <c r="N156" s="1" t="n"/>
      <c r="O156" s="1" t="n"/>
    </row>
    <row r="157">
      <c r="A157" s="104" t="n"/>
      <c r="B157" s="1" t="n"/>
      <c r="C157" s="1" t="n"/>
      <c r="D157" s="1" t="n"/>
      <c r="E157" s="1" t="n"/>
      <c r="F157" s="1" t="n"/>
      <c r="G157" s="111" t="n"/>
      <c r="H157" s="111" t="n"/>
      <c r="I157" s="112">
        <f>IF(G157&lt;&gt;"",G157-H157,"")</f>
        <v/>
      </c>
      <c r="J157" s="1" t="n"/>
      <c r="K157" s="1" t="n"/>
      <c r="L157" s="1" t="n"/>
      <c r="M157" s="1" t="n"/>
      <c r="N157" s="1" t="n"/>
      <c r="O157" s="1" t="n"/>
    </row>
    <row r="158">
      <c r="A158" s="104" t="n"/>
      <c r="B158" s="1" t="n"/>
      <c r="C158" s="1" t="n"/>
      <c r="D158" s="1" t="n"/>
      <c r="E158" s="1" t="n"/>
      <c r="F158" s="1" t="n"/>
      <c r="G158" s="111" t="n"/>
      <c r="H158" s="111" t="n"/>
      <c r="I158" s="112">
        <f>IF(G158&lt;&gt;"",G158-H158,"")</f>
        <v/>
      </c>
      <c r="J158" s="1" t="n"/>
      <c r="K158" s="1" t="n"/>
      <c r="L158" s="1" t="n"/>
      <c r="M158" s="1" t="n"/>
      <c r="N158" s="1" t="n"/>
      <c r="O158" s="1" t="n"/>
    </row>
    <row r="159">
      <c r="A159" s="104" t="n"/>
      <c r="B159" s="1" t="n"/>
      <c r="C159" s="1" t="n"/>
      <c r="D159" s="1" t="n"/>
      <c r="E159" s="1" t="n"/>
      <c r="F159" s="1" t="n"/>
      <c r="G159" s="111" t="n"/>
      <c r="H159" s="111" t="n"/>
      <c r="I159" s="112">
        <f>IF(G159&lt;&gt;"",G159-H159,"")</f>
        <v/>
      </c>
      <c r="J159" s="1" t="n"/>
      <c r="K159" s="1" t="n"/>
      <c r="L159" s="1" t="n"/>
      <c r="M159" s="1" t="n"/>
      <c r="N159" s="1" t="n"/>
      <c r="O159" s="1" t="n"/>
    </row>
    <row r="160">
      <c r="A160" s="104" t="n"/>
      <c r="B160" s="1" t="n"/>
      <c r="C160" s="1" t="n"/>
      <c r="D160" s="1" t="n"/>
      <c r="E160" s="1" t="n"/>
      <c r="F160" s="1" t="n"/>
      <c r="G160" s="111" t="n"/>
      <c r="H160" s="111" t="n"/>
      <c r="I160" s="112">
        <f>IF(G160&lt;&gt;"",G160-H160,"")</f>
        <v/>
      </c>
      <c r="J160" s="1" t="n"/>
      <c r="K160" s="1" t="n"/>
      <c r="L160" s="1" t="n"/>
      <c r="M160" s="1" t="n"/>
      <c r="N160" s="1" t="n"/>
      <c r="O160" s="1" t="n"/>
    </row>
    <row r="161">
      <c r="A161" s="104" t="n"/>
      <c r="B161" s="1" t="n"/>
      <c r="C161" s="1" t="n"/>
      <c r="D161" s="1" t="n"/>
      <c r="E161" s="1" t="n"/>
      <c r="F161" s="1" t="n"/>
      <c r="G161" s="111" t="n"/>
      <c r="H161" s="111" t="n"/>
      <c r="I161" s="112">
        <f>IF(G161&lt;&gt;"",G161-H161,"")</f>
        <v/>
      </c>
      <c r="J161" s="1" t="n"/>
      <c r="K161" s="1" t="n"/>
      <c r="L161" s="1" t="n"/>
      <c r="M161" s="1" t="n"/>
      <c r="N161" s="1" t="n"/>
      <c r="O161" s="1" t="n"/>
    </row>
    <row r="162">
      <c r="A162" s="104" t="n"/>
      <c r="B162" s="1" t="n"/>
      <c r="C162" s="1" t="n"/>
      <c r="D162" s="1" t="n"/>
      <c r="E162" s="1" t="n"/>
      <c r="F162" s="1" t="n"/>
      <c r="G162" s="111" t="n"/>
      <c r="H162" s="111" t="n"/>
      <c r="I162" s="112">
        <f>IF(G162&lt;&gt;"",G162-H162,"")</f>
        <v/>
      </c>
      <c r="J162" s="1" t="n"/>
      <c r="K162" s="1" t="n"/>
      <c r="L162" s="1" t="n"/>
      <c r="M162" s="1" t="n"/>
      <c r="N162" s="1" t="n"/>
      <c r="O162" s="1" t="n"/>
    </row>
    <row r="163">
      <c r="A163" s="104" t="n"/>
      <c r="B163" s="1" t="n"/>
      <c r="C163" s="1" t="n"/>
      <c r="D163" s="1" t="n"/>
      <c r="E163" s="1" t="n"/>
      <c r="F163" s="1" t="n"/>
      <c r="G163" s="111" t="n"/>
      <c r="H163" s="111" t="n"/>
      <c r="I163" s="112">
        <f>IF(G163&lt;&gt;"",G163-H163,"")</f>
        <v/>
      </c>
      <c r="J163" s="1" t="n"/>
      <c r="K163" s="1" t="n"/>
      <c r="L163" s="1" t="n"/>
      <c r="M163" s="1" t="n"/>
      <c r="N163" s="1" t="n"/>
      <c r="O163" s="1" t="n"/>
    </row>
    <row r="164">
      <c r="A164" s="104" t="n"/>
      <c r="B164" s="1" t="n"/>
      <c r="C164" s="1" t="n"/>
      <c r="D164" s="1" t="n"/>
      <c r="E164" s="1" t="n"/>
      <c r="F164" s="1" t="n"/>
      <c r="G164" s="111" t="n"/>
      <c r="H164" s="111" t="n"/>
      <c r="I164" s="112">
        <f>IF(G164&lt;&gt;"",G164-H164,"")</f>
        <v/>
      </c>
      <c r="J164" s="1" t="n"/>
      <c r="K164" s="1" t="n"/>
      <c r="L164" s="1" t="n"/>
      <c r="M164" s="1" t="n"/>
      <c r="N164" s="1" t="n"/>
      <c r="O164" s="1" t="n"/>
    </row>
    <row r="165">
      <c r="A165" s="104" t="n"/>
      <c r="B165" s="1" t="n"/>
      <c r="C165" s="1" t="n"/>
      <c r="D165" s="1" t="n"/>
      <c r="E165" s="1" t="n"/>
      <c r="F165" s="1" t="n"/>
      <c r="G165" s="111" t="n"/>
      <c r="H165" s="111" t="n"/>
      <c r="I165" s="112">
        <f>IF(G165&lt;&gt;"",G165-H165,"")</f>
        <v/>
      </c>
      <c r="J165" s="1" t="n"/>
      <c r="K165" s="1" t="n"/>
      <c r="L165" s="1" t="n"/>
      <c r="M165" s="1" t="n"/>
      <c r="N165" s="1" t="n"/>
      <c r="O165" s="1" t="n"/>
    </row>
    <row r="166">
      <c r="A166" s="104" t="n"/>
      <c r="B166" s="1" t="n"/>
      <c r="C166" s="1" t="n"/>
      <c r="D166" s="1" t="n"/>
      <c r="E166" s="1" t="n"/>
      <c r="F166" s="1" t="n"/>
      <c r="G166" s="111" t="n"/>
      <c r="H166" s="111" t="n"/>
      <c r="I166" s="112">
        <f>IF(G166&lt;&gt;"",G166-H166,"")</f>
        <v/>
      </c>
      <c r="J166" s="1" t="n"/>
      <c r="K166" s="1" t="n"/>
      <c r="L166" s="1" t="n"/>
      <c r="M166" s="1" t="n"/>
      <c r="N166" s="1" t="n"/>
      <c r="O166" s="1" t="n"/>
    </row>
    <row r="167">
      <c r="A167" s="104" t="n"/>
      <c r="B167" s="1" t="n"/>
      <c r="C167" s="1" t="n"/>
      <c r="D167" s="1" t="n"/>
      <c r="E167" s="1" t="n"/>
      <c r="F167" s="1" t="n"/>
      <c r="G167" s="111" t="n"/>
      <c r="H167" s="111" t="n"/>
      <c r="I167" s="112">
        <f>IF(G167&lt;&gt;"",G167-H167,"")</f>
        <v/>
      </c>
      <c r="J167" s="1" t="n"/>
      <c r="K167" s="1" t="n"/>
      <c r="L167" s="1" t="n"/>
      <c r="M167" s="1" t="n"/>
      <c r="N167" s="1" t="n"/>
      <c r="O167" s="1" t="n"/>
    </row>
    <row r="168">
      <c r="A168" s="104" t="n"/>
      <c r="B168" s="1" t="n"/>
      <c r="C168" s="1" t="n"/>
      <c r="D168" s="1" t="n"/>
      <c r="E168" s="1" t="n"/>
      <c r="F168" s="1" t="n"/>
      <c r="G168" s="111" t="n"/>
      <c r="H168" s="111" t="n"/>
      <c r="I168" s="112">
        <f>IF(G168&lt;&gt;"",G168-H168,"")</f>
        <v/>
      </c>
      <c r="J168" s="1" t="n"/>
      <c r="K168" s="1" t="n"/>
      <c r="L168" s="1" t="n"/>
      <c r="M168" s="1" t="n"/>
      <c r="N168" s="1" t="n"/>
      <c r="O168" s="1" t="n"/>
    </row>
    <row r="169">
      <c r="A169" s="104" t="n"/>
      <c r="B169" s="1" t="n"/>
      <c r="C169" s="1" t="n"/>
      <c r="D169" s="1" t="n"/>
      <c r="E169" s="1" t="n"/>
      <c r="F169" s="1" t="n"/>
      <c r="G169" s="111" t="n"/>
      <c r="H169" s="111" t="n"/>
      <c r="I169" s="112">
        <f>IF(G169&lt;&gt;"",G169-H169,"")</f>
        <v/>
      </c>
      <c r="J169" s="1" t="n"/>
      <c r="K169" s="1" t="n"/>
      <c r="L169" s="1" t="n"/>
      <c r="M169" s="1" t="n"/>
      <c r="N169" s="1" t="n"/>
      <c r="O169" s="1" t="n"/>
    </row>
    <row r="170">
      <c r="A170" s="104" t="n"/>
      <c r="B170" s="1" t="n"/>
      <c r="C170" s="1" t="n"/>
      <c r="D170" s="1" t="n"/>
      <c r="E170" s="1" t="n"/>
      <c r="F170" s="1" t="n"/>
      <c r="G170" s="111" t="n"/>
      <c r="H170" s="111" t="n"/>
      <c r="I170" s="112">
        <f>IF(G170&lt;&gt;"",G170-H170,"")</f>
        <v/>
      </c>
      <c r="J170" s="1" t="n"/>
      <c r="K170" s="1" t="n"/>
      <c r="L170" s="1" t="n"/>
      <c r="M170" s="1" t="n"/>
      <c r="N170" s="1" t="n"/>
      <c r="O170" s="1" t="n"/>
    </row>
    <row r="171">
      <c r="A171" s="104" t="n"/>
      <c r="B171" s="1" t="n"/>
      <c r="C171" s="1" t="n"/>
      <c r="D171" s="1" t="n"/>
      <c r="E171" s="1" t="n"/>
      <c r="F171" s="1" t="n"/>
      <c r="G171" s="111" t="n"/>
      <c r="H171" s="111" t="n"/>
      <c r="I171" s="112">
        <f>IF(G171&lt;&gt;"",G171-H171,"")</f>
        <v/>
      </c>
      <c r="J171" s="1" t="n"/>
      <c r="K171" s="1" t="n"/>
      <c r="L171" s="1" t="n"/>
      <c r="M171" s="1" t="n"/>
      <c r="N171" s="1" t="n"/>
      <c r="O171" s="1" t="n"/>
    </row>
    <row r="172">
      <c r="A172" s="104" t="n"/>
      <c r="B172" s="1" t="n"/>
      <c r="C172" s="1" t="n"/>
      <c r="D172" s="1" t="n"/>
      <c r="E172" s="1" t="n"/>
      <c r="F172" s="1" t="n"/>
      <c r="G172" s="111" t="n"/>
      <c r="H172" s="111" t="n"/>
      <c r="I172" s="112">
        <f>IF(G172&lt;&gt;"",G172-H172,"")</f>
        <v/>
      </c>
      <c r="J172" s="1" t="n"/>
      <c r="K172" s="1" t="n"/>
      <c r="L172" s="1" t="n"/>
      <c r="M172" s="1" t="n"/>
      <c r="N172" s="1" t="n"/>
      <c r="O172" s="1" t="n"/>
    </row>
    <row r="173">
      <c r="A173" s="104" t="n"/>
      <c r="B173" s="1" t="n"/>
      <c r="C173" s="1" t="n"/>
      <c r="D173" s="1" t="n"/>
      <c r="E173" s="1" t="n"/>
      <c r="F173" s="1" t="n"/>
      <c r="G173" s="111" t="n"/>
      <c r="H173" s="111" t="n"/>
      <c r="I173" s="112">
        <f>IF(G173&lt;&gt;"",G173-H173,"")</f>
        <v/>
      </c>
      <c r="J173" s="1" t="n"/>
      <c r="K173" s="1" t="n"/>
      <c r="L173" s="1" t="n"/>
      <c r="M173" s="1" t="n"/>
      <c r="N173" s="1" t="n"/>
      <c r="O173" s="1" t="n"/>
    </row>
    <row r="174">
      <c r="A174" s="104" t="n"/>
      <c r="B174" s="1" t="n"/>
      <c r="C174" s="1" t="n"/>
      <c r="D174" s="1" t="n"/>
      <c r="E174" s="1" t="n"/>
      <c r="F174" s="1" t="n"/>
      <c r="G174" s="111" t="n"/>
      <c r="H174" s="111" t="n"/>
      <c r="I174" s="112">
        <f>IF(G174&lt;&gt;"",G174-H174,"")</f>
        <v/>
      </c>
      <c r="J174" s="1" t="n"/>
      <c r="K174" s="1" t="n"/>
      <c r="L174" s="1" t="n"/>
      <c r="M174" s="1" t="n"/>
      <c r="N174" s="1" t="n"/>
      <c r="O174" s="1" t="n"/>
    </row>
    <row r="175">
      <c r="A175" s="104" t="n"/>
      <c r="B175" s="1" t="n"/>
      <c r="C175" s="1" t="n"/>
      <c r="D175" s="1" t="n"/>
      <c r="E175" s="1" t="n"/>
      <c r="F175" s="1" t="n"/>
      <c r="G175" s="111" t="n"/>
      <c r="H175" s="111" t="n"/>
      <c r="I175" s="112">
        <f>IF(G175&lt;&gt;"",G175-H175,"")</f>
        <v/>
      </c>
      <c r="J175" s="1" t="n"/>
      <c r="K175" s="1" t="n"/>
      <c r="L175" s="1" t="n"/>
      <c r="M175" s="1" t="n"/>
      <c r="N175" s="1" t="n"/>
      <c r="O175" s="1" t="n"/>
    </row>
    <row r="176">
      <c r="A176" s="104" t="n"/>
      <c r="B176" s="1" t="n"/>
      <c r="C176" s="1" t="n"/>
      <c r="D176" s="1" t="n"/>
      <c r="E176" s="1" t="n"/>
      <c r="F176" s="1" t="n"/>
      <c r="G176" s="111" t="n"/>
      <c r="H176" s="111" t="n"/>
      <c r="I176" s="112">
        <f>IF(G176&lt;&gt;"",G176-H176,"")</f>
        <v/>
      </c>
      <c r="J176" s="1" t="n"/>
      <c r="K176" s="1" t="n"/>
      <c r="L176" s="1" t="n"/>
      <c r="M176" s="1" t="n"/>
      <c r="N176" s="1" t="n"/>
      <c r="O176" s="1" t="n"/>
    </row>
    <row r="177">
      <c r="A177" s="104" t="n"/>
      <c r="B177" s="1" t="n"/>
      <c r="C177" s="1" t="n"/>
      <c r="D177" s="1" t="n"/>
      <c r="E177" s="1" t="n"/>
      <c r="F177" s="1" t="n"/>
      <c r="G177" s="111" t="n"/>
      <c r="H177" s="111" t="n"/>
      <c r="I177" s="112">
        <f>IF(G177&lt;&gt;"",G177-H177,"")</f>
        <v/>
      </c>
      <c r="J177" s="1" t="n"/>
      <c r="K177" s="1" t="n"/>
      <c r="L177" s="1" t="n"/>
      <c r="M177" s="1" t="n"/>
      <c r="N177" s="1" t="n"/>
      <c r="O177" s="1" t="n"/>
    </row>
    <row r="178">
      <c r="A178" s="104" t="n"/>
      <c r="B178" s="1" t="n"/>
      <c r="C178" s="1" t="n"/>
      <c r="D178" s="1" t="n"/>
      <c r="E178" s="1" t="n"/>
      <c r="F178" s="1" t="n"/>
      <c r="G178" s="111" t="n"/>
      <c r="H178" s="111" t="n"/>
      <c r="I178" s="112">
        <f>IF(G178&lt;&gt;"",G178-H178,"")</f>
        <v/>
      </c>
      <c r="J178" s="1" t="n"/>
      <c r="K178" s="1" t="n"/>
      <c r="L178" s="1" t="n"/>
      <c r="M178" s="1" t="n"/>
      <c r="N178" s="1" t="n"/>
      <c r="O178" s="1" t="n"/>
    </row>
    <row r="179">
      <c r="A179" s="104" t="n"/>
      <c r="B179" s="1" t="n"/>
      <c r="C179" s="1" t="n"/>
      <c r="D179" s="1" t="n"/>
      <c r="E179" s="1" t="n"/>
      <c r="F179" s="1" t="n"/>
      <c r="G179" s="111" t="n"/>
      <c r="H179" s="111" t="n"/>
      <c r="I179" s="112">
        <f>IF(G179&lt;&gt;"",G179-H179,"")</f>
        <v/>
      </c>
      <c r="J179" s="1" t="n"/>
      <c r="K179" s="1" t="n"/>
      <c r="L179" s="1" t="n"/>
      <c r="M179" s="1" t="n"/>
      <c r="N179" s="1" t="n"/>
      <c r="O179" s="1" t="n"/>
    </row>
    <row r="180">
      <c r="A180" s="104" t="n"/>
      <c r="B180" s="1" t="n"/>
      <c r="C180" s="1" t="n"/>
      <c r="D180" s="1" t="n"/>
      <c r="E180" s="1" t="n"/>
      <c r="F180" s="1" t="n"/>
      <c r="G180" s="111" t="n"/>
      <c r="H180" s="111" t="n"/>
      <c r="I180" s="112">
        <f>IF(G180&lt;&gt;"",G180-H180,"")</f>
        <v/>
      </c>
      <c r="J180" s="1" t="n"/>
      <c r="K180" s="1" t="n"/>
      <c r="L180" s="1" t="n"/>
      <c r="M180" s="1" t="n"/>
      <c r="N180" s="1" t="n"/>
      <c r="O180" s="1" t="n"/>
    </row>
    <row r="181">
      <c r="A181" s="104" t="n"/>
      <c r="B181" s="1" t="n"/>
      <c r="C181" s="1" t="n"/>
      <c r="D181" s="1" t="n"/>
      <c r="E181" s="1" t="n"/>
      <c r="F181" s="1" t="n"/>
      <c r="G181" s="111" t="n"/>
      <c r="H181" s="111" t="n"/>
      <c r="I181" s="112">
        <f>IF(G181&lt;&gt;"",G181-H181,"")</f>
        <v/>
      </c>
      <c r="J181" s="1" t="n"/>
      <c r="K181" s="1" t="n"/>
      <c r="L181" s="1" t="n"/>
      <c r="M181" s="1" t="n"/>
      <c r="N181" s="1" t="n"/>
      <c r="O181" s="1" t="n"/>
    </row>
    <row r="182">
      <c r="A182" s="104" t="n"/>
      <c r="B182" s="1" t="n"/>
      <c r="C182" s="1" t="n"/>
      <c r="D182" s="1" t="n"/>
      <c r="E182" s="1" t="n"/>
      <c r="F182" s="1" t="n"/>
      <c r="G182" s="111" t="n"/>
      <c r="H182" s="111" t="n"/>
      <c r="I182" s="112">
        <f>IF(G182&lt;&gt;"",G182-H182,"")</f>
        <v/>
      </c>
      <c r="J182" s="1" t="n"/>
      <c r="K182" s="1" t="n"/>
      <c r="L182" s="1" t="n"/>
      <c r="M182" s="1" t="n"/>
      <c r="N182" s="1" t="n"/>
      <c r="O182" s="1" t="n"/>
    </row>
    <row r="183">
      <c r="A183" s="104" t="n"/>
      <c r="B183" s="1" t="n"/>
      <c r="C183" s="1" t="n"/>
      <c r="D183" s="1" t="n"/>
      <c r="E183" s="1" t="n"/>
      <c r="F183" s="1" t="n"/>
      <c r="G183" s="111" t="n"/>
      <c r="H183" s="111" t="n"/>
      <c r="I183" s="112">
        <f>IF(G183&lt;&gt;"",G183-H183,"")</f>
        <v/>
      </c>
      <c r="J183" s="1" t="n"/>
      <c r="K183" s="1" t="n"/>
      <c r="L183" s="1" t="n"/>
      <c r="M183" s="1" t="n"/>
      <c r="N183" s="1" t="n"/>
      <c r="O183" s="1" t="n"/>
    </row>
    <row r="184">
      <c r="A184" s="104" t="n"/>
      <c r="B184" s="1" t="n"/>
      <c r="C184" s="1" t="n"/>
      <c r="D184" s="1" t="n"/>
      <c r="E184" s="1" t="n"/>
      <c r="F184" s="1" t="n"/>
      <c r="G184" s="111" t="n"/>
      <c r="H184" s="111" t="n"/>
      <c r="I184" s="112">
        <f>IF(G184&lt;&gt;"",G184-H184,"")</f>
        <v/>
      </c>
      <c r="J184" s="1" t="n"/>
      <c r="K184" s="1" t="n"/>
      <c r="L184" s="1" t="n"/>
      <c r="M184" s="1" t="n"/>
      <c r="N184" s="1" t="n"/>
      <c r="O184" s="1" t="n"/>
    </row>
    <row r="185">
      <c r="A185" s="104" t="n"/>
      <c r="B185" s="1" t="n"/>
      <c r="C185" s="1" t="n"/>
      <c r="D185" s="1" t="n"/>
      <c r="E185" s="1" t="n"/>
      <c r="F185" s="1" t="n"/>
      <c r="G185" s="111" t="n"/>
      <c r="H185" s="111" t="n"/>
      <c r="I185" s="112">
        <f>IF(G185&lt;&gt;"",G185-H185,"")</f>
        <v/>
      </c>
      <c r="J185" s="1" t="n"/>
      <c r="K185" s="1" t="n"/>
      <c r="L185" s="1" t="n"/>
      <c r="M185" s="1" t="n"/>
      <c r="N185" s="1" t="n"/>
      <c r="O185" s="1" t="n"/>
    </row>
    <row r="186">
      <c r="A186" s="104" t="n"/>
      <c r="B186" s="1" t="n"/>
      <c r="C186" s="1" t="n"/>
      <c r="D186" s="1" t="n"/>
      <c r="E186" s="1" t="n"/>
      <c r="F186" s="1" t="n"/>
      <c r="G186" s="111" t="n"/>
      <c r="H186" s="111" t="n"/>
      <c r="I186" s="112">
        <f>IF(G186&lt;&gt;"",G186-H186,"")</f>
        <v/>
      </c>
      <c r="J186" s="1" t="n"/>
      <c r="K186" s="1" t="n"/>
      <c r="L186" s="1" t="n"/>
      <c r="M186" s="1" t="n"/>
      <c r="N186" s="1" t="n"/>
      <c r="O186" s="1" t="n"/>
    </row>
    <row r="187">
      <c r="A187" s="104" t="n"/>
      <c r="B187" s="1" t="n"/>
      <c r="C187" s="1" t="n"/>
      <c r="D187" s="1" t="n"/>
      <c r="E187" s="1" t="n"/>
      <c r="F187" s="1" t="n"/>
      <c r="G187" s="111" t="n"/>
      <c r="H187" s="111" t="n"/>
      <c r="I187" s="112">
        <f>IF(G187&lt;&gt;"",G187-H187,"")</f>
        <v/>
      </c>
      <c r="J187" s="1" t="n"/>
      <c r="K187" s="1" t="n"/>
      <c r="L187" s="1" t="n"/>
      <c r="M187" s="1" t="n"/>
      <c r="N187" s="1" t="n"/>
      <c r="O187" s="1" t="n"/>
    </row>
    <row r="188">
      <c r="A188" s="104" t="n"/>
      <c r="B188" s="1" t="n"/>
      <c r="C188" s="1" t="n"/>
      <c r="D188" s="1" t="n"/>
      <c r="E188" s="1" t="n"/>
      <c r="F188" s="1" t="n"/>
      <c r="G188" s="111" t="n"/>
      <c r="H188" s="111" t="n"/>
      <c r="I188" s="112">
        <f>IF(G188&lt;&gt;"",G188-H188,"")</f>
        <v/>
      </c>
      <c r="J188" s="1" t="n"/>
      <c r="K188" s="1" t="n"/>
      <c r="L188" s="1" t="n"/>
      <c r="M188" s="1" t="n"/>
      <c r="N188" s="1" t="n"/>
      <c r="O188" s="1" t="n"/>
    </row>
    <row r="189">
      <c r="A189" s="104" t="n"/>
      <c r="B189" s="1" t="n"/>
      <c r="C189" s="1" t="n"/>
      <c r="D189" s="1" t="n"/>
      <c r="E189" s="1" t="n"/>
      <c r="F189" s="1" t="n"/>
      <c r="G189" s="111" t="n"/>
      <c r="H189" s="111" t="n"/>
      <c r="I189" s="112">
        <f>IF(G189&lt;&gt;"",G189-H189,"")</f>
        <v/>
      </c>
      <c r="J189" s="1" t="n"/>
      <c r="K189" s="1" t="n"/>
      <c r="L189" s="1" t="n"/>
      <c r="M189" s="1" t="n"/>
      <c r="N189" s="1" t="n"/>
      <c r="O189" s="1" t="n"/>
    </row>
    <row r="190">
      <c r="A190" s="104" t="n"/>
      <c r="B190" s="1" t="n"/>
      <c r="C190" s="1" t="n"/>
      <c r="D190" s="1" t="n"/>
      <c r="E190" s="1" t="n"/>
      <c r="F190" s="1" t="n"/>
      <c r="G190" s="111" t="n"/>
      <c r="H190" s="111" t="n"/>
      <c r="I190" s="112">
        <f>IF(G190&lt;&gt;"",G190-H190,"")</f>
        <v/>
      </c>
      <c r="J190" s="1" t="n"/>
      <c r="K190" s="1" t="n"/>
      <c r="L190" s="1" t="n"/>
      <c r="M190" s="1" t="n"/>
      <c r="N190" s="1" t="n"/>
      <c r="O190" s="1" t="n"/>
    </row>
    <row r="191">
      <c r="A191" s="104" t="n"/>
      <c r="B191" s="1" t="n"/>
      <c r="C191" s="1" t="n"/>
      <c r="D191" s="1" t="n"/>
      <c r="E191" s="1" t="n"/>
      <c r="F191" s="1" t="n"/>
      <c r="G191" s="111" t="n"/>
      <c r="H191" s="111" t="n"/>
      <c r="I191" s="112">
        <f>IF(G191&lt;&gt;"",G191-H191,"")</f>
        <v/>
      </c>
      <c r="J191" s="1" t="n"/>
      <c r="K191" s="1" t="n"/>
      <c r="L191" s="1" t="n"/>
      <c r="M191" s="1" t="n"/>
      <c r="N191" s="1" t="n"/>
      <c r="O191" s="1" t="n"/>
    </row>
    <row r="192">
      <c r="A192" s="104" t="n"/>
      <c r="B192" s="1" t="n"/>
      <c r="C192" s="1" t="n"/>
      <c r="D192" s="1" t="n"/>
      <c r="E192" s="1" t="n"/>
      <c r="F192" s="1" t="n"/>
      <c r="G192" s="111" t="n"/>
      <c r="H192" s="111" t="n"/>
      <c r="I192" s="112">
        <f>IF(G192&lt;&gt;"",G192-H192,"")</f>
        <v/>
      </c>
      <c r="J192" s="1" t="n"/>
      <c r="K192" s="1" t="n"/>
      <c r="L192" s="1" t="n"/>
      <c r="M192" s="1" t="n"/>
      <c r="N192" s="1" t="n"/>
      <c r="O192" s="1" t="n"/>
    </row>
    <row r="193">
      <c r="A193" s="104" t="n"/>
      <c r="B193" s="1" t="n"/>
      <c r="C193" s="1" t="n"/>
      <c r="D193" s="1" t="n"/>
      <c r="E193" s="1" t="n"/>
      <c r="F193" s="1" t="n"/>
      <c r="G193" s="111" t="n"/>
      <c r="H193" s="111" t="n"/>
      <c r="I193" s="112">
        <f>IF(G193&lt;&gt;"",G193-H193,"")</f>
        <v/>
      </c>
      <c r="J193" s="1" t="n"/>
      <c r="K193" s="1" t="n"/>
      <c r="L193" s="1" t="n"/>
      <c r="M193" s="1" t="n"/>
      <c r="N193" s="1" t="n"/>
      <c r="O193" s="1" t="n"/>
    </row>
    <row r="194">
      <c r="A194" s="104" t="n"/>
      <c r="B194" s="1" t="n"/>
      <c r="C194" s="1" t="n"/>
      <c r="D194" s="1" t="n"/>
      <c r="E194" s="1" t="n"/>
      <c r="F194" s="1" t="n"/>
      <c r="G194" s="111" t="n"/>
      <c r="H194" s="111" t="n"/>
      <c r="I194" s="112">
        <f>IF(G194&lt;&gt;"",G194-H194,"")</f>
        <v/>
      </c>
      <c r="J194" s="1" t="n"/>
      <c r="K194" s="1" t="n"/>
      <c r="L194" s="1" t="n"/>
      <c r="M194" s="1" t="n"/>
      <c r="N194" s="1" t="n"/>
      <c r="O194" s="1" t="n"/>
    </row>
    <row r="195">
      <c r="A195" s="104" t="n"/>
      <c r="B195" s="1" t="n"/>
      <c r="C195" s="1" t="n"/>
      <c r="D195" s="1" t="n"/>
      <c r="E195" s="1" t="n"/>
      <c r="F195" s="1" t="n"/>
      <c r="G195" s="111" t="n"/>
      <c r="H195" s="111" t="n"/>
      <c r="I195" s="112">
        <f>IF(G195&lt;&gt;"",G195-H195,"")</f>
        <v/>
      </c>
      <c r="J195" s="1" t="n"/>
      <c r="K195" s="1" t="n"/>
      <c r="L195" s="1" t="n"/>
      <c r="M195" s="1" t="n"/>
      <c r="N195" s="1" t="n"/>
      <c r="O195" s="1" t="n"/>
    </row>
    <row r="196">
      <c r="A196" s="104" t="n"/>
      <c r="B196" s="1" t="n"/>
      <c r="C196" s="1" t="n"/>
      <c r="D196" s="1" t="n"/>
      <c r="E196" s="1" t="n"/>
      <c r="F196" s="1" t="n"/>
      <c r="G196" s="111" t="n"/>
      <c r="H196" s="111" t="n"/>
      <c r="I196" s="112">
        <f>IF(G196&lt;&gt;"",G196-H196,"")</f>
        <v/>
      </c>
      <c r="J196" s="1" t="n"/>
      <c r="K196" s="1" t="n"/>
      <c r="L196" s="1" t="n"/>
      <c r="M196" s="1" t="n"/>
      <c r="N196" s="1" t="n"/>
      <c r="O196" s="1" t="n"/>
    </row>
    <row r="197">
      <c r="A197" s="104" t="n"/>
      <c r="B197" s="1" t="n"/>
      <c r="C197" s="1" t="n"/>
      <c r="D197" s="1" t="n"/>
      <c r="E197" s="1" t="n"/>
      <c r="F197" s="1" t="n"/>
      <c r="G197" s="111" t="n"/>
      <c r="H197" s="111" t="n"/>
      <c r="I197" s="112">
        <f>IF(G197&lt;&gt;"",G197-H197,"")</f>
        <v/>
      </c>
      <c r="J197" s="1" t="n"/>
      <c r="K197" s="1" t="n"/>
      <c r="L197" s="1" t="n"/>
      <c r="M197" s="1" t="n"/>
      <c r="N197" s="1" t="n"/>
      <c r="O197" s="1" t="n"/>
    </row>
    <row r="198">
      <c r="A198" s="104" t="n"/>
      <c r="B198" s="1" t="n"/>
      <c r="C198" s="1" t="n"/>
      <c r="D198" s="1" t="n"/>
      <c r="E198" s="1" t="n"/>
      <c r="F198" s="1" t="n"/>
      <c r="G198" s="111" t="n"/>
      <c r="H198" s="111" t="n"/>
      <c r="I198" s="112">
        <f>IF(G198&lt;&gt;"",G198-H198,"")</f>
        <v/>
      </c>
      <c r="J198" s="1" t="n"/>
      <c r="K198" s="1" t="n"/>
      <c r="L198" s="1" t="n"/>
      <c r="M198" s="1" t="n"/>
      <c r="N198" s="1" t="n"/>
      <c r="O198" s="1" t="n"/>
    </row>
    <row r="199">
      <c r="A199" s="104" t="n"/>
      <c r="B199" s="1" t="n"/>
      <c r="C199" s="1" t="n"/>
      <c r="D199" s="1" t="n"/>
      <c r="E199" s="1" t="n"/>
      <c r="F199" s="1" t="n"/>
      <c r="G199" s="111" t="n"/>
      <c r="H199" s="111" t="n"/>
      <c r="I199" s="112">
        <f>IF(G199&lt;&gt;"",G199-H199,"")</f>
        <v/>
      </c>
      <c r="J199" s="1" t="n"/>
      <c r="K199" s="1" t="n"/>
      <c r="L199" s="1" t="n"/>
      <c r="M199" s="1" t="n"/>
      <c r="N199" s="1" t="n"/>
      <c r="O199" s="1" t="n"/>
    </row>
    <row r="200">
      <c r="A200" s="115" t="n"/>
      <c r="G200" s="116" t="n"/>
      <c r="H200" s="116" t="n"/>
      <c r="I200" s="117">
        <f>IF(G200&lt;&gt;"",G200-H200,"")</f>
        <v/>
      </c>
    </row>
    <row r="201">
      <c r="A201" s="115" t="n"/>
      <c r="G201" s="116" t="n"/>
      <c r="H201" s="116" t="n"/>
      <c r="I201" s="117">
        <f>IF(G201&lt;&gt;"",G201-H201,"")</f>
        <v/>
      </c>
    </row>
    <row r="202">
      <c r="A202" s="115" t="n"/>
      <c r="G202" s="116" t="n"/>
      <c r="H202" s="116" t="n"/>
      <c r="I202" s="117">
        <f>IF(G202&lt;&gt;"",G202-H202,"")</f>
        <v/>
      </c>
    </row>
    <row r="203">
      <c r="A203" s="115" t="n"/>
      <c r="G203" s="116" t="n"/>
      <c r="H203" s="116" t="n"/>
      <c r="I203" s="117">
        <f>IF(G203&lt;&gt;"",G203-H203,"")</f>
        <v/>
      </c>
    </row>
    <row r="204">
      <c r="A204" s="115" t="n"/>
      <c r="G204" s="116" t="n"/>
      <c r="H204" s="116" t="n"/>
      <c r="I204" s="117">
        <f>IF(G204&lt;&gt;"",G204-H204,"")</f>
        <v/>
      </c>
    </row>
    <row r="205">
      <c r="A205" s="115" t="n"/>
      <c r="G205" s="116" t="n"/>
      <c r="H205" s="116" t="n"/>
      <c r="I205" s="117">
        <f>IF(G205&lt;&gt;"",G205-H205,"")</f>
        <v/>
      </c>
    </row>
    <row r="206">
      <c r="A206" s="115" t="n"/>
      <c r="G206" s="116" t="n"/>
      <c r="H206" s="116" t="n"/>
      <c r="I206" s="117">
        <f>IF(G206&lt;&gt;"",G206-H206,"")</f>
        <v/>
      </c>
    </row>
    <row r="207">
      <c r="A207" s="115" t="n"/>
      <c r="G207" s="116" t="n"/>
      <c r="H207" s="116" t="n"/>
      <c r="I207" s="117">
        <f>IF(G207&lt;&gt;"",G207-H207,"")</f>
        <v/>
      </c>
    </row>
    <row r="208">
      <c r="A208" s="115" t="n"/>
      <c r="G208" s="116" t="n"/>
      <c r="H208" s="116" t="n"/>
      <c r="I208" s="117">
        <f>IF(G208&lt;&gt;"",G208-H208,"")</f>
        <v/>
      </c>
    </row>
    <row r="209">
      <c r="A209" s="115" t="n"/>
      <c r="G209" s="116" t="n"/>
      <c r="H209" s="116" t="n"/>
      <c r="I209" s="117">
        <f>IF(G209&lt;&gt;"",G209-H209,"")</f>
        <v/>
      </c>
    </row>
    <row r="210">
      <c r="A210" s="115" t="n"/>
      <c r="G210" s="116" t="n"/>
      <c r="H210" s="116" t="n"/>
      <c r="I210" s="117">
        <f>IF(G210&lt;&gt;"",G210-H210,"")</f>
        <v/>
      </c>
    </row>
    <row r="211">
      <c r="A211" s="115" t="n"/>
      <c r="G211" s="116" t="n"/>
      <c r="H211" s="116" t="n"/>
      <c r="I211" s="117">
        <f>IF(G211&lt;&gt;"",G211-H211,"")</f>
        <v/>
      </c>
    </row>
    <row r="212">
      <c r="A212" s="115" t="n"/>
      <c r="G212" s="116" t="n"/>
      <c r="H212" s="116" t="n"/>
      <c r="I212" s="117">
        <f>IF(G212&lt;&gt;"",G212-H212,"")</f>
        <v/>
      </c>
    </row>
    <row r="213">
      <c r="A213" s="115" t="n"/>
      <c r="G213" s="116" t="n"/>
      <c r="H213" s="116" t="n"/>
      <c r="I213" s="117">
        <f>IF(G213&lt;&gt;"",G213-H213,"")</f>
        <v/>
      </c>
    </row>
    <row r="214">
      <c r="A214" s="115" t="n"/>
      <c r="G214" s="116" t="n"/>
      <c r="H214" s="116" t="n"/>
      <c r="I214" s="117">
        <f>IF(G214&lt;&gt;"",G214-H214,"")</f>
        <v/>
      </c>
    </row>
    <row r="215">
      <c r="A215" s="115" t="n"/>
      <c r="G215" s="116" t="n"/>
      <c r="H215" s="116" t="n"/>
      <c r="I215" s="117">
        <f>IF(G215&lt;&gt;"",G215-H215,"")</f>
        <v/>
      </c>
    </row>
    <row r="216">
      <c r="A216" s="115" t="n"/>
      <c r="G216" s="116" t="n"/>
      <c r="H216" s="116" t="n"/>
      <c r="I216" s="117">
        <f>IF(G216&lt;&gt;"",G216-H216,"")</f>
        <v/>
      </c>
    </row>
    <row r="217">
      <c r="A217" s="115" t="n"/>
      <c r="G217" s="116" t="n"/>
      <c r="H217" s="116" t="n"/>
      <c r="I217" s="117">
        <f>IF(G217&lt;&gt;"",G217-H217,"")</f>
        <v/>
      </c>
    </row>
    <row r="218">
      <c r="A218" s="115" t="n"/>
      <c r="G218" s="116" t="n"/>
      <c r="H218" s="116" t="n"/>
      <c r="I218" s="117">
        <f>IF(G218&lt;&gt;"",G218-H218,"")</f>
        <v/>
      </c>
    </row>
    <row r="219">
      <c r="A219" s="115" t="n"/>
      <c r="G219" s="116" t="n"/>
      <c r="H219" s="116" t="n"/>
      <c r="I219" s="117">
        <f>IF(G219&lt;&gt;"",G219-H219,"")</f>
        <v/>
      </c>
    </row>
    <row r="220">
      <c r="A220" s="115" t="n"/>
      <c r="G220" s="116" t="n"/>
      <c r="H220" s="116" t="n"/>
      <c r="I220" s="117">
        <f>IF(G220&lt;&gt;"",G220-H220,"")</f>
        <v/>
      </c>
    </row>
    <row r="221">
      <c r="A221" s="115" t="n"/>
      <c r="G221" s="116" t="n"/>
      <c r="H221" s="116" t="n"/>
      <c r="I221" s="117">
        <f>IF(G221&lt;&gt;"",G221-H221,"")</f>
        <v/>
      </c>
    </row>
    <row r="222">
      <c r="A222" s="115" t="n"/>
      <c r="G222" s="116" t="n"/>
      <c r="H222" s="116" t="n"/>
      <c r="I222" s="117">
        <f>IF(G222&lt;&gt;"",G222-H222,"")</f>
        <v/>
      </c>
    </row>
    <row r="223">
      <c r="A223" s="115" t="n"/>
      <c r="G223" s="116" t="n"/>
      <c r="H223" s="116" t="n"/>
      <c r="I223" s="117">
        <f>IF(G223&lt;&gt;"",G223-H223,"")</f>
        <v/>
      </c>
    </row>
    <row r="224">
      <c r="A224" s="115" t="n"/>
      <c r="G224" s="116" t="n"/>
      <c r="H224" s="116" t="n"/>
      <c r="I224" s="117">
        <f>IF(G224&lt;&gt;"",G224-H224,"")</f>
        <v/>
      </c>
    </row>
    <row r="225">
      <c r="A225" s="115" t="n"/>
      <c r="G225" s="116" t="n"/>
      <c r="H225" s="116" t="n"/>
      <c r="I225" s="117">
        <f>IF(G225&lt;&gt;"",G225-H225,"")</f>
        <v/>
      </c>
    </row>
    <row r="226">
      <c r="A226" s="115" t="n"/>
      <c r="G226" s="116" t="n"/>
      <c r="H226" s="116" t="n"/>
      <c r="I226" s="117">
        <f>IF(G226&lt;&gt;"",G226-H226,"")</f>
        <v/>
      </c>
    </row>
    <row r="227">
      <c r="A227" s="115" t="n"/>
      <c r="G227" s="116" t="n"/>
      <c r="H227" s="116" t="n"/>
      <c r="I227" s="117">
        <f>IF(G227&lt;&gt;"",G227-H227,"")</f>
        <v/>
      </c>
    </row>
    <row r="228">
      <c r="A228" s="115" t="n"/>
      <c r="G228" s="116" t="n"/>
      <c r="H228" s="116" t="n"/>
      <c r="I228" s="117">
        <f>IF(G228&lt;&gt;"",G228-H228,"")</f>
        <v/>
      </c>
    </row>
    <row r="229">
      <c r="A229" s="115" t="n"/>
      <c r="G229" s="116" t="n"/>
      <c r="H229" s="116" t="n"/>
      <c r="I229" s="117">
        <f>IF(G229&lt;&gt;"",G229-H229,"")</f>
        <v/>
      </c>
    </row>
    <row r="230">
      <c r="A230" s="115" t="n"/>
      <c r="G230" s="116" t="n"/>
      <c r="H230" s="116" t="n"/>
      <c r="I230" s="117">
        <f>IF(G230&lt;&gt;"",G230-H230,"")</f>
        <v/>
      </c>
    </row>
    <row r="231">
      <c r="A231" s="115" t="n"/>
      <c r="G231" s="116" t="n"/>
      <c r="H231" s="116" t="n"/>
      <c r="I231" s="117">
        <f>IF(G231&lt;&gt;"",G231-H231,"")</f>
        <v/>
      </c>
    </row>
    <row r="232">
      <c r="A232" s="115" t="n"/>
      <c r="G232" s="116" t="n"/>
      <c r="H232" s="116" t="n"/>
      <c r="I232" s="117">
        <f>IF(G232&lt;&gt;"",G232-H232,"")</f>
        <v/>
      </c>
    </row>
    <row r="233">
      <c r="A233" s="115" t="n"/>
      <c r="G233" s="116" t="n"/>
      <c r="H233" s="116" t="n"/>
      <c r="I233" s="117">
        <f>IF(G233&lt;&gt;"",G233-H233,"")</f>
        <v/>
      </c>
    </row>
    <row r="234">
      <c r="A234" s="115" t="n"/>
      <c r="G234" s="116" t="n"/>
      <c r="H234" s="116" t="n"/>
      <c r="I234" s="117">
        <f>IF(G234&lt;&gt;"",G234-H234,"")</f>
        <v/>
      </c>
    </row>
    <row r="235">
      <c r="A235" s="115" t="n"/>
      <c r="G235" s="116" t="n"/>
      <c r="H235" s="116" t="n"/>
      <c r="I235" s="117">
        <f>IF(G235&lt;&gt;"",G235-H235,"")</f>
        <v/>
      </c>
    </row>
    <row r="236">
      <c r="A236" s="115" t="n"/>
      <c r="G236" s="116" t="n"/>
      <c r="H236" s="116" t="n"/>
      <c r="I236" s="117">
        <f>IF(G236&lt;&gt;"",G236-H236,"")</f>
        <v/>
      </c>
    </row>
    <row r="237">
      <c r="A237" s="115" t="n"/>
      <c r="G237" s="116" t="n"/>
      <c r="H237" s="116" t="n"/>
      <c r="I237" s="117">
        <f>IF(G237&lt;&gt;"",G237-H237,"")</f>
        <v/>
      </c>
    </row>
    <row r="238">
      <c r="A238" s="115" t="n"/>
      <c r="G238" s="116" t="n"/>
      <c r="H238" s="116" t="n"/>
      <c r="I238" s="117">
        <f>IF(G238&lt;&gt;"",G238-H238,"")</f>
        <v/>
      </c>
    </row>
    <row r="239">
      <c r="A239" s="115" t="n"/>
      <c r="G239" s="116" t="n"/>
      <c r="H239" s="116" t="n"/>
      <c r="I239" s="117">
        <f>IF(G239&lt;&gt;"",G239-H239,"")</f>
        <v/>
      </c>
    </row>
    <row r="240">
      <c r="A240" s="115" t="n"/>
      <c r="G240" s="116" t="n"/>
      <c r="H240" s="116" t="n"/>
      <c r="I240" s="117">
        <f>IF(G240&lt;&gt;"",G240-H240,"")</f>
        <v/>
      </c>
    </row>
    <row r="241">
      <c r="A241" s="115" t="n"/>
      <c r="G241" s="116" t="n"/>
      <c r="H241" s="116" t="n"/>
      <c r="I241" s="117">
        <f>IF(G241&lt;&gt;"",G241-H241,"")</f>
        <v/>
      </c>
    </row>
    <row r="242">
      <c r="A242" s="115" t="n"/>
      <c r="G242" s="116" t="n"/>
      <c r="H242" s="116" t="n"/>
      <c r="I242" s="117">
        <f>IF(G242&lt;&gt;"",G242-H242,"")</f>
        <v/>
      </c>
    </row>
    <row r="243">
      <c r="A243" s="115" t="n"/>
      <c r="G243" s="116" t="n"/>
      <c r="H243" s="116" t="n"/>
      <c r="I243" s="117">
        <f>IF(G243&lt;&gt;"",G243-H243,"")</f>
        <v/>
      </c>
    </row>
    <row r="244">
      <c r="A244" s="115" t="n"/>
      <c r="G244" s="116" t="n"/>
      <c r="H244" s="116" t="n"/>
      <c r="I244" s="117">
        <f>IF(G244&lt;&gt;"",G244-H244,"")</f>
        <v/>
      </c>
    </row>
    <row r="245">
      <c r="A245" s="115" t="n"/>
      <c r="G245" s="116" t="n"/>
      <c r="H245" s="116" t="n"/>
      <c r="I245" s="117">
        <f>IF(G245&lt;&gt;"",G245-H245,"")</f>
        <v/>
      </c>
    </row>
    <row r="246">
      <c r="A246" s="115" t="n"/>
      <c r="G246" s="116" t="n"/>
      <c r="H246" s="116" t="n"/>
      <c r="I246" s="117">
        <f>IF(G246&lt;&gt;"",G246-H246,"")</f>
        <v/>
      </c>
    </row>
    <row r="247">
      <c r="A247" s="115" t="n"/>
      <c r="G247" s="116" t="n"/>
      <c r="H247" s="116" t="n"/>
      <c r="I247" s="117">
        <f>IF(G247&lt;&gt;"",G247-H247,"")</f>
        <v/>
      </c>
    </row>
    <row r="248">
      <c r="A248" s="115" t="n"/>
      <c r="G248" s="116" t="n"/>
      <c r="H248" s="116" t="n"/>
      <c r="I248" s="117">
        <f>IF(G248&lt;&gt;"",G248-H248,"")</f>
        <v/>
      </c>
    </row>
    <row r="249">
      <c r="A249" s="115" t="n"/>
      <c r="G249" s="116" t="n"/>
      <c r="H249" s="116" t="n"/>
      <c r="I249" s="117">
        <f>IF(G249&lt;&gt;"",G249-H249,"")</f>
        <v/>
      </c>
    </row>
    <row r="250">
      <c r="A250" s="115" t="n"/>
      <c r="G250" s="116" t="n"/>
      <c r="H250" s="116" t="n"/>
      <c r="I250" s="117">
        <f>IF(G250&lt;&gt;"",G250-H250,"")</f>
        <v/>
      </c>
    </row>
    <row r="251">
      <c r="A251" s="115" t="n"/>
      <c r="G251" s="116" t="n"/>
      <c r="H251" s="116" t="n"/>
      <c r="I251" s="117">
        <f>IF(G251&lt;&gt;"",G251-H251,"")</f>
        <v/>
      </c>
    </row>
    <row r="252">
      <c r="A252" s="115" t="n"/>
      <c r="G252" s="116" t="n"/>
      <c r="H252" s="116" t="n"/>
      <c r="I252" s="117">
        <f>IF(G252&lt;&gt;"",G252-H252,"")</f>
        <v/>
      </c>
    </row>
    <row r="253">
      <c r="A253" s="115" t="n"/>
      <c r="G253" s="116" t="n"/>
      <c r="H253" s="116" t="n"/>
      <c r="I253" s="117">
        <f>IF(G253&lt;&gt;"",G253-H253,"")</f>
        <v/>
      </c>
    </row>
    <row r="254">
      <c r="A254" s="115" t="n"/>
      <c r="G254" s="116" t="n"/>
      <c r="H254" s="116" t="n"/>
      <c r="I254" s="117">
        <f>IF(G254&lt;&gt;"",G254-H254,"")</f>
        <v/>
      </c>
    </row>
    <row r="255">
      <c r="A255" s="115" t="n"/>
      <c r="G255" s="116" t="n"/>
      <c r="H255" s="116" t="n"/>
      <c r="I255" s="117">
        <f>IF(G255&lt;&gt;"",G255-H255,"")</f>
        <v/>
      </c>
    </row>
    <row r="256">
      <c r="A256" s="115" t="n"/>
      <c r="G256" s="116" t="n"/>
      <c r="H256" s="116" t="n"/>
      <c r="I256" s="117">
        <f>IF(G256&lt;&gt;"",G256-H256,"")</f>
        <v/>
      </c>
    </row>
    <row r="257">
      <c r="A257" s="115" t="n"/>
      <c r="G257" s="116" t="n"/>
      <c r="H257" s="116" t="n"/>
      <c r="I257" s="117">
        <f>IF(G257&lt;&gt;"",G257-H257,"")</f>
        <v/>
      </c>
    </row>
    <row r="258">
      <c r="A258" s="115" t="n"/>
      <c r="G258" s="116" t="n"/>
      <c r="H258" s="116" t="n"/>
      <c r="I258" s="117">
        <f>IF(G258&lt;&gt;"",G258-H258,"")</f>
        <v/>
      </c>
    </row>
    <row r="259">
      <c r="A259" s="115" t="n"/>
      <c r="G259" s="116" t="n"/>
      <c r="H259" s="116" t="n"/>
      <c r="I259" s="117">
        <f>IF(G259&lt;&gt;"",G259-H259,"")</f>
        <v/>
      </c>
    </row>
    <row r="260">
      <c r="A260" s="115" t="n"/>
      <c r="G260" s="116" t="n"/>
      <c r="H260" s="116" t="n"/>
      <c r="I260" s="117">
        <f>IF(G260&lt;&gt;"",G260-H260,"")</f>
        <v/>
      </c>
    </row>
    <row r="261">
      <c r="A261" s="115" t="n"/>
      <c r="G261" s="116" t="n"/>
      <c r="H261" s="116" t="n"/>
      <c r="I261" s="117">
        <f>IF(G261&lt;&gt;"",G261-H261,"")</f>
        <v/>
      </c>
    </row>
    <row r="262">
      <c r="A262" s="115" t="n"/>
      <c r="G262" s="116" t="n"/>
      <c r="H262" s="116" t="n"/>
      <c r="I262" s="117">
        <f>IF(G262&lt;&gt;"",G262-H262,"")</f>
        <v/>
      </c>
    </row>
    <row r="263">
      <c r="A263" s="115" t="n"/>
      <c r="G263" s="116" t="n"/>
      <c r="H263" s="116" t="n"/>
      <c r="I263" s="117">
        <f>IF(G263&lt;&gt;"",G263-H263,"")</f>
        <v/>
      </c>
    </row>
    <row r="264">
      <c r="A264" s="115" t="n"/>
      <c r="G264" s="116" t="n"/>
      <c r="H264" s="116" t="n"/>
      <c r="I264" s="117">
        <f>IF(G264&lt;&gt;"",G264-H264,"")</f>
        <v/>
      </c>
    </row>
    <row r="265">
      <c r="A265" s="115" t="n"/>
      <c r="G265" s="116" t="n"/>
      <c r="H265" s="116" t="n"/>
      <c r="I265" s="117">
        <f>IF(G265&lt;&gt;"",G265-H265,"")</f>
        <v/>
      </c>
    </row>
    <row r="266">
      <c r="A266" s="115" t="n"/>
      <c r="G266" s="116" t="n"/>
      <c r="H266" s="116" t="n"/>
      <c r="I266" s="117">
        <f>IF(G266&lt;&gt;"",G266-H266,"")</f>
        <v/>
      </c>
    </row>
    <row r="267">
      <c r="A267" s="115" t="n"/>
      <c r="G267" s="116" t="n"/>
      <c r="H267" s="116" t="n"/>
      <c r="I267" s="117">
        <f>IF(G267&lt;&gt;"",G267-H267,"")</f>
        <v/>
      </c>
    </row>
    <row r="268">
      <c r="A268" s="115" t="n"/>
      <c r="G268" s="116" t="n"/>
      <c r="H268" s="116" t="n"/>
      <c r="I268" s="117">
        <f>IF(G268&lt;&gt;"",G268-H268,"")</f>
        <v/>
      </c>
    </row>
    <row r="269">
      <c r="A269" s="115" t="n"/>
      <c r="G269" s="116" t="n"/>
      <c r="H269" s="116" t="n"/>
      <c r="I269" s="117">
        <f>IF(G269&lt;&gt;"",G269-H269,"")</f>
        <v/>
      </c>
    </row>
    <row r="270">
      <c r="A270" s="115" t="n"/>
      <c r="G270" s="116" t="n"/>
      <c r="H270" s="116" t="n"/>
      <c r="I270" s="117">
        <f>IF(G270&lt;&gt;"",G270-H270,"")</f>
        <v/>
      </c>
    </row>
    <row r="271">
      <c r="A271" s="115" t="n"/>
      <c r="G271" s="116" t="n"/>
      <c r="H271" s="116" t="n"/>
      <c r="I271" s="117">
        <f>IF(G271&lt;&gt;"",G271-H271,"")</f>
        <v/>
      </c>
    </row>
    <row r="272">
      <c r="A272" s="115" t="n"/>
      <c r="G272" s="116" t="n"/>
      <c r="H272" s="116" t="n"/>
      <c r="I272" s="117">
        <f>IF(G272&lt;&gt;"",G272-H272,"")</f>
        <v/>
      </c>
    </row>
    <row r="273">
      <c r="A273" s="115" t="n"/>
      <c r="G273" s="116" t="n"/>
      <c r="H273" s="116" t="n"/>
      <c r="I273" s="117">
        <f>IF(G273&lt;&gt;"",G273-H273,"")</f>
        <v/>
      </c>
    </row>
    <row r="274">
      <c r="A274" s="115" t="n"/>
      <c r="G274" s="116" t="n"/>
      <c r="H274" s="116" t="n"/>
      <c r="I274" s="117">
        <f>IF(G274&lt;&gt;"",G274-H274,"")</f>
        <v/>
      </c>
    </row>
    <row r="275">
      <c r="A275" s="115" t="n"/>
      <c r="G275" s="116" t="n"/>
      <c r="H275" s="116" t="n"/>
      <c r="I275" s="117">
        <f>IF(G275&lt;&gt;"",G275-H275,"")</f>
        <v/>
      </c>
    </row>
    <row r="276">
      <c r="A276" s="115" t="n"/>
      <c r="G276" s="116" t="n"/>
      <c r="H276" s="116" t="n"/>
      <c r="I276" s="117">
        <f>IF(G276&lt;&gt;"",G276-H276,"")</f>
        <v/>
      </c>
    </row>
    <row r="277">
      <c r="A277" s="115" t="n"/>
      <c r="G277" s="116" t="n"/>
      <c r="H277" s="116" t="n"/>
      <c r="I277" s="117">
        <f>IF(G277&lt;&gt;"",G277-H277,"")</f>
        <v/>
      </c>
    </row>
    <row r="278">
      <c r="A278" s="115" t="n"/>
      <c r="G278" s="116" t="n"/>
      <c r="H278" s="116" t="n"/>
      <c r="I278" s="117">
        <f>IF(G278&lt;&gt;"",G278-H278,"")</f>
        <v/>
      </c>
    </row>
    <row r="279">
      <c r="A279" s="115" t="n"/>
      <c r="G279" s="116" t="n"/>
      <c r="H279" s="116" t="n"/>
      <c r="I279" s="117">
        <f>IF(G279&lt;&gt;"",G279-H279,"")</f>
        <v/>
      </c>
    </row>
    <row r="280">
      <c r="A280" s="115" t="n"/>
      <c r="G280" s="116" t="n"/>
      <c r="H280" s="116" t="n"/>
      <c r="I280" s="117">
        <f>IF(G280&lt;&gt;"",G280-H280,"")</f>
        <v/>
      </c>
    </row>
    <row r="281">
      <c r="A281" s="115" t="n"/>
      <c r="G281" s="116" t="n"/>
      <c r="H281" s="116" t="n"/>
      <c r="I281" s="117">
        <f>IF(G281&lt;&gt;"",G281-H281,"")</f>
        <v/>
      </c>
    </row>
    <row r="282">
      <c r="A282" s="115" t="n"/>
      <c r="G282" s="116" t="n"/>
      <c r="H282" s="116" t="n"/>
      <c r="I282" s="117">
        <f>IF(G282&lt;&gt;"",G282-H282,"")</f>
        <v/>
      </c>
    </row>
    <row r="283">
      <c r="A283" s="115" t="n"/>
      <c r="G283" s="116" t="n"/>
      <c r="H283" s="116" t="n"/>
      <c r="I283" s="117">
        <f>IF(G283&lt;&gt;"",G283-H283,"")</f>
        <v/>
      </c>
    </row>
    <row r="284">
      <c r="A284" s="115" t="n"/>
      <c r="G284" s="116" t="n"/>
      <c r="H284" s="116" t="n"/>
      <c r="I284" s="117">
        <f>IF(G284&lt;&gt;"",G284-H284,"")</f>
        <v/>
      </c>
    </row>
    <row r="285">
      <c r="A285" s="115" t="n"/>
      <c r="G285" s="116" t="n"/>
      <c r="H285" s="116" t="n"/>
      <c r="I285" s="117">
        <f>IF(G285&lt;&gt;"",G285-H285,"")</f>
        <v/>
      </c>
    </row>
    <row r="286">
      <c r="A286" s="115" t="n"/>
      <c r="G286" s="116" t="n"/>
      <c r="H286" s="116" t="n"/>
      <c r="I286" s="117">
        <f>IF(G286&lt;&gt;"",G286-H286,"")</f>
        <v/>
      </c>
    </row>
    <row r="287">
      <c r="A287" s="115" t="n"/>
      <c r="G287" s="116" t="n"/>
      <c r="H287" s="116" t="n"/>
      <c r="I287" s="117">
        <f>IF(G287&lt;&gt;"",G287-H287,"")</f>
        <v/>
      </c>
    </row>
    <row r="288">
      <c r="A288" s="115" t="n"/>
      <c r="G288" s="116" t="n"/>
      <c r="H288" s="116" t="n"/>
      <c r="I288" s="117">
        <f>IF(G288&lt;&gt;"",G288-H288,"")</f>
        <v/>
      </c>
    </row>
    <row r="289">
      <c r="A289" s="115" t="n"/>
      <c r="G289" s="116" t="n"/>
      <c r="H289" s="116" t="n"/>
      <c r="I289" s="117">
        <f>IF(G289&lt;&gt;"",G289-H289,"")</f>
        <v/>
      </c>
    </row>
    <row r="290">
      <c r="A290" s="115" t="n"/>
      <c r="G290" s="116" t="n"/>
      <c r="H290" s="116" t="n"/>
      <c r="I290" s="117">
        <f>IF(G290&lt;&gt;"",G290-H290,"")</f>
        <v/>
      </c>
    </row>
    <row r="291">
      <c r="A291" s="115" t="n"/>
      <c r="G291" s="116" t="n"/>
      <c r="H291" s="116" t="n"/>
      <c r="I291" s="117">
        <f>IF(G291&lt;&gt;"",G291-H291,"")</f>
        <v/>
      </c>
    </row>
    <row r="292">
      <c r="A292" s="115" t="n"/>
      <c r="G292" s="116" t="n"/>
      <c r="H292" s="116" t="n"/>
      <c r="I292" s="117">
        <f>IF(G292&lt;&gt;"",G292-H292,"")</f>
        <v/>
      </c>
    </row>
    <row r="293">
      <c r="A293" s="115" t="n"/>
      <c r="G293" s="116" t="n"/>
      <c r="H293" s="116" t="n"/>
      <c r="I293" s="117">
        <f>IF(G293&lt;&gt;"",G293-H293,"")</f>
        <v/>
      </c>
    </row>
    <row r="294">
      <c r="A294" s="115" t="n"/>
      <c r="G294" s="116" t="n"/>
      <c r="H294" s="116" t="n"/>
      <c r="I294" s="117">
        <f>IF(G294&lt;&gt;"",G294-H294,"")</f>
        <v/>
      </c>
    </row>
    <row r="295">
      <c r="A295" s="115" t="n"/>
      <c r="G295" s="116" t="n"/>
      <c r="H295" s="116" t="n"/>
      <c r="I295" s="117">
        <f>IF(G295&lt;&gt;"",G295-H295,"")</f>
        <v/>
      </c>
    </row>
    <row r="296">
      <c r="A296" s="115" t="n"/>
      <c r="G296" s="116" t="n"/>
      <c r="H296" s="116" t="n"/>
      <c r="I296" s="117">
        <f>IF(G296&lt;&gt;"",G296-H296,"")</f>
        <v/>
      </c>
    </row>
    <row r="297">
      <c r="A297" s="115" t="n"/>
      <c r="G297" s="116" t="n"/>
      <c r="H297" s="116" t="n"/>
      <c r="I297" s="117">
        <f>IF(G297&lt;&gt;"",G297-H297,"")</f>
        <v/>
      </c>
    </row>
    <row r="298">
      <c r="A298" s="115" t="n"/>
      <c r="G298" s="116" t="n"/>
      <c r="H298" s="116" t="n"/>
      <c r="I298" s="117">
        <f>IF(G298&lt;&gt;"",G298-H298,"")</f>
        <v/>
      </c>
    </row>
    <row r="299">
      <c r="A299" s="115" t="n"/>
      <c r="G299" s="116" t="n"/>
      <c r="H299" s="116" t="n"/>
      <c r="I299" s="117">
        <f>IF(G299&lt;&gt;"",G299-H299,"")</f>
        <v/>
      </c>
    </row>
    <row r="300">
      <c r="A300" s="115" t="n"/>
      <c r="G300" s="116" t="n"/>
      <c r="H300" s="116" t="n"/>
      <c r="I300" s="117">
        <f>IF(G300&lt;&gt;"",G300-H300,"")</f>
        <v/>
      </c>
    </row>
    <row r="301">
      <c r="A301" s="115" t="n"/>
      <c r="G301" s="116" t="n"/>
      <c r="H301" s="116" t="n"/>
      <c r="I301" s="117">
        <f>IF(G301&lt;&gt;"",G301-H301,"")</f>
        <v/>
      </c>
    </row>
    <row r="302">
      <c r="A302" s="115" t="n"/>
      <c r="G302" s="116" t="n"/>
      <c r="H302" s="116" t="n"/>
      <c r="I302" s="117">
        <f>IF(G302&lt;&gt;"",G302-H302,"")</f>
        <v/>
      </c>
    </row>
    <row r="303">
      <c r="A303" s="115" t="n"/>
      <c r="G303" s="116" t="n"/>
      <c r="H303" s="116" t="n"/>
      <c r="I303" s="117">
        <f>IF(G303&lt;&gt;"",G303-H303,"")</f>
        <v/>
      </c>
    </row>
    <row r="304">
      <c r="A304" s="115" t="n"/>
      <c r="G304" s="116" t="n"/>
      <c r="H304" s="116" t="n"/>
      <c r="I304" s="117">
        <f>IF(G304&lt;&gt;"",G304-H304,"")</f>
        <v/>
      </c>
    </row>
    <row r="305">
      <c r="A305" s="115" t="n"/>
      <c r="G305" s="116" t="n"/>
      <c r="H305" s="116" t="n"/>
      <c r="I305" s="117">
        <f>IF(G305&lt;&gt;"",G305-H305,"")</f>
        <v/>
      </c>
    </row>
    <row r="306">
      <c r="A306" s="115" t="n"/>
      <c r="G306" s="116" t="n"/>
      <c r="H306" s="116" t="n"/>
      <c r="I306" s="117">
        <f>IF(G306&lt;&gt;"",G306-H306,"")</f>
        <v/>
      </c>
    </row>
    <row r="307">
      <c r="A307" s="115" t="n"/>
      <c r="G307" s="116" t="n"/>
      <c r="H307" s="116" t="n"/>
      <c r="I307" s="117">
        <f>IF(G307&lt;&gt;"",G307-H307,"")</f>
        <v/>
      </c>
    </row>
    <row r="308">
      <c r="A308" s="115" t="n"/>
      <c r="G308" s="116" t="n"/>
      <c r="H308" s="116" t="n"/>
      <c r="I308" s="117">
        <f>IF(G308&lt;&gt;"",G308-H308,"")</f>
        <v/>
      </c>
    </row>
    <row r="309">
      <c r="A309" s="115" t="n"/>
      <c r="G309" s="116" t="n"/>
      <c r="H309" s="116" t="n"/>
      <c r="I309" s="117">
        <f>IF(G309&lt;&gt;"",G309-H309,"")</f>
        <v/>
      </c>
    </row>
    <row r="310">
      <c r="A310" s="115" t="n"/>
      <c r="G310" s="116" t="n"/>
      <c r="H310" s="116" t="n"/>
      <c r="I310" s="117">
        <f>IF(G310&lt;&gt;"",G310-H310,"")</f>
        <v/>
      </c>
    </row>
    <row r="311">
      <c r="A311" s="115" t="n"/>
      <c r="G311" s="116" t="n"/>
      <c r="H311" s="116" t="n"/>
      <c r="I311" s="117">
        <f>IF(G311&lt;&gt;"",G311-H311,"")</f>
        <v/>
      </c>
    </row>
    <row r="312">
      <c r="A312" s="115" t="n"/>
      <c r="G312" s="116" t="n"/>
      <c r="H312" s="116" t="n"/>
      <c r="I312" s="117">
        <f>IF(G312&lt;&gt;"",G312-H312,"")</f>
        <v/>
      </c>
    </row>
    <row r="313">
      <c r="A313" s="115" t="n"/>
      <c r="G313" s="116" t="n"/>
      <c r="H313" s="116" t="n"/>
      <c r="I313" s="117">
        <f>IF(G313&lt;&gt;"",G313-H313,"")</f>
        <v/>
      </c>
    </row>
    <row r="314">
      <c r="A314" s="115" t="n"/>
      <c r="G314" s="116" t="n"/>
      <c r="H314" s="116" t="n"/>
      <c r="I314" s="117">
        <f>IF(G314&lt;&gt;"",G314-H314,"")</f>
        <v/>
      </c>
    </row>
    <row r="315">
      <c r="A315" s="115" t="n"/>
      <c r="G315" s="116" t="n"/>
      <c r="H315" s="116" t="n"/>
      <c r="I315" s="117">
        <f>IF(G315&lt;&gt;"",G315-H315,"")</f>
        <v/>
      </c>
    </row>
    <row r="316">
      <c r="A316" s="115" t="n"/>
      <c r="G316" s="116" t="n"/>
      <c r="H316" s="116" t="n"/>
      <c r="I316" s="117">
        <f>IF(G316&lt;&gt;"",G316-H316,"")</f>
        <v/>
      </c>
    </row>
    <row r="317">
      <c r="A317" s="115" t="n"/>
      <c r="G317" s="116" t="n"/>
      <c r="H317" s="116" t="n"/>
      <c r="I317" s="117">
        <f>IF(G317&lt;&gt;"",G317-H317,"")</f>
        <v/>
      </c>
    </row>
    <row r="318">
      <c r="A318" s="115" t="n"/>
      <c r="G318" s="116" t="n"/>
      <c r="H318" s="116" t="n"/>
      <c r="I318" s="117">
        <f>IF(G318&lt;&gt;"",G318-H318,"")</f>
        <v/>
      </c>
    </row>
    <row r="319">
      <c r="A319" s="115" t="n"/>
      <c r="G319" s="116" t="n"/>
      <c r="H319" s="116" t="n"/>
      <c r="I319" s="117">
        <f>IF(G319&lt;&gt;"",G319-H319,"")</f>
        <v/>
      </c>
    </row>
    <row r="320">
      <c r="A320" s="115" t="n"/>
      <c r="G320" s="116" t="n"/>
      <c r="H320" s="116" t="n"/>
      <c r="I320" s="117">
        <f>IF(G320&lt;&gt;"",G320-H320,"")</f>
        <v/>
      </c>
    </row>
    <row r="321">
      <c r="A321" s="115" t="n"/>
      <c r="G321" s="116" t="n"/>
      <c r="H321" s="116" t="n"/>
      <c r="I321" s="117">
        <f>IF(G321&lt;&gt;"",G321-H321,"")</f>
        <v/>
      </c>
    </row>
    <row r="322">
      <c r="A322" s="115" t="n"/>
      <c r="G322" s="116" t="n"/>
      <c r="H322" s="116" t="n"/>
      <c r="I322" s="117">
        <f>IF(G322&lt;&gt;"",G322-H322,"")</f>
        <v/>
      </c>
    </row>
    <row r="323">
      <c r="A323" s="115" t="n"/>
      <c r="G323" s="116" t="n"/>
      <c r="H323" s="116" t="n"/>
      <c r="I323" s="117">
        <f>IF(G323&lt;&gt;"",G323-H323,"")</f>
        <v/>
      </c>
    </row>
    <row r="324">
      <c r="A324" s="115" t="n"/>
      <c r="G324" s="116" t="n"/>
      <c r="H324" s="116" t="n"/>
      <c r="I324" s="117">
        <f>IF(G324&lt;&gt;"",G324-H324,"")</f>
        <v/>
      </c>
    </row>
    <row r="325">
      <c r="A325" s="115" t="n"/>
      <c r="G325" s="116" t="n"/>
      <c r="H325" s="116" t="n"/>
      <c r="I325" s="117">
        <f>IF(G325&lt;&gt;"",G325-H325,"")</f>
        <v/>
      </c>
    </row>
    <row r="326">
      <c r="A326" s="115" t="n"/>
      <c r="G326" s="116" t="n"/>
      <c r="H326" s="116" t="n"/>
      <c r="I326" s="117">
        <f>IF(G326&lt;&gt;"",G326-H326,"")</f>
        <v/>
      </c>
    </row>
    <row r="327">
      <c r="A327" s="115" t="n"/>
      <c r="G327" s="116" t="n"/>
      <c r="H327" s="116" t="n"/>
      <c r="I327" s="117">
        <f>IF(G327&lt;&gt;"",G327-H327,"")</f>
        <v/>
      </c>
    </row>
    <row r="328">
      <c r="A328" s="115" t="n"/>
      <c r="G328" s="116" t="n"/>
      <c r="H328" s="116" t="n"/>
      <c r="I328" s="117">
        <f>IF(G328&lt;&gt;"",G328-H328,"")</f>
        <v/>
      </c>
    </row>
    <row r="329">
      <c r="A329" s="115" t="n"/>
      <c r="G329" s="116" t="n"/>
      <c r="H329" s="116" t="n"/>
      <c r="I329" s="117">
        <f>IF(G329&lt;&gt;"",G329-H329,"")</f>
        <v/>
      </c>
    </row>
    <row r="330">
      <c r="A330" s="115" t="n"/>
      <c r="G330" s="116" t="n"/>
      <c r="H330" s="116" t="n"/>
      <c r="I330" s="117">
        <f>IF(G330&lt;&gt;"",G330-H330,"")</f>
        <v/>
      </c>
    </row>
    <row r="331">
      <c r="A331" s="115" t="n"/>
      <c r="G331" s="116" t="n"/>
      <c r="H331" s="116" t="n"/>
      <c r="I331" s="117">
        <f>IF(G331&lt;&gt;"",G331-H331,"")</f>
        <v/>
      </c>
    </row>
    <row r="332">
      <c r="A332" s="115" t="n"/>
      <c r="G332" s="116" t="n"/>
      <c r="H332" s="116" t="n"/>
      <c r="I332" s="117">
        <f>IF(G332&lt;&gt;"",G332-H332,"")</f>
        <v/>
      </c>
    </row>
    <row r="333">
      <c r="A333" s="115" t="n"/>
      <c r="G333" s="116" t="n"/>
      <c r="H333" s="116" t="n"/>
      <c r="I333" s="117">
        <f>IF(G333&lt;&gt;"",G333-H333,"")</f>
        <v/>
      </c>
    </row>
    <row r="334">
      <c r="A334" s="115" t="n"/>
      <c r="G334" s="116" t="n"/>
      <c r="H334" s="116" t="n"/>
      <c r="I334" s="117">
        <f>IF(G334&lt;&gt;"",G334-H334,"")</f>
        <v/>
      </c>
    </row>
    <row r="335">
      <c r="A335" s="115" t="n"/>
      <c r="G335" s="116" t="n"/>
      <c r="H335" s="116" t="n"/>
      <c r="I335" s="117">
        <f>IF(G335&lt;&gt;"",G335-H335,"")</f>
        <v/>
      </c>
    </row>
    <row r="336">
      <c r="A336" s="115" t="n"/>
      <c r="G336" s="116" t="n"/>
      <c r="H336" s="116" t="n"/>
      <c r="I336" s="117">
        <f>IF(G336&lt;&gt;"",G336-H336,"")</f>
        <v/>
      </c>
    </row>
    <row r="337">
      <c r="A337" s="115" t="n"/>
      <c r="G337" s="116" t="n"/>
      <c r="H337" s="116" t="n"/>
      <c r="I337" s="117">
        <f>IF(G337&lt;&gt;"",G337-H337,"")</f>
        <v/>
      </c>
    </row>
    <row r="338">
      <c r="A338" s="115" t="n"/>
      <c r="G338" s="116" t="n"/>
      <c r="H338" s="116" t="n"/>
      <c r="I338" s="117">
        <f>IF(G338&lt;&gt;"",G338-H338,"")</f>
        <v/>
      </c>
    </row>
    <row r="339">
      <c r="A339" s="115" t="n"/>
      <c r="G339" s="116" t="n"/>
      <c r="H339" s="116" t="n"/>
      <c r="I339" s="117">
        <f>IF(G339&lt;&gt;"",G339-H339,"")</f>
        <v/>
      </c>
    </row>
    <row r="340">
      <c r="A340" s="115" t="n"/>
      <c r="G340" s="116" t="n"/>
      <c r="H340" s="116" t="n"/>
      <c r="I340" s="117">
        <f>IF(G340&lt;&gt;"",G340-H340,"")</f>
        <v/>
      </c>
    </row>
    <row r="341">
      <c r="A341" s="115" t="n"/>
      <c r="G341" s="116" t="n"/>
      <c r="H341" s="116" t="n"/>
      <c r="I341" s="117">
        <f>IF(G341&lt;&gt;"",G341-H341,"")</f>
        <v/>
      </c>
    </row>
    <row r="342">
      <c r="A342" s="115" t="n"/>
      <c r="G342" s="116" t="n"/>
      <c r="H342" s="116" t="n"/>
      <c r="I342" s="117">
        <f>IF(G342&lt;&gt;"",G342-H342,"")</f>
        <v/>
      </c>
    </row>
    <row r="343">
      <c r="A343" s="115" t="n"/>
      <c r="G343" s="116" t="n"/>
      <c r="H343" s="116" t="n"/>
      <c r="I343" s="117">
        <f>IF(G343&lt;&gt;"",G343-H343,"")</f>
        <v/>
      </c>
    </row>
    <row r="344">
      <c r="A344" s="115" t="n"/>
      <c r="G344" s="116" t="n"/>
      <c r="H344" s="116" t="n"/>
      <c r="I344" s="117">
        <f>IF(G344&lt;&gt;"",G344-H344,"")</f>
        <v/>
      </c>
    </row>
    <row r="345">
      <c r="A345" s="115" t="n"/>
      <c r="G345" s="116" t="n"/>
      <c r="H345" s="116" t="n"/>
      <c r="I345" s="117">
        <f>IF(G345&lt;&gt;"",G345-H345,"")</f>
        <v/>
      </c>
    </row>
    <row r="346">
      <c r="A346" s="115" t="n"/>
      <c r="G346" s="116" t="n"/>
      <c r="H346" s="116" t="n"/>
      <c r="I346" s="117">
        <f>IF(G346&lt;&gt;"",G346-H346,"")</f>
        <v/>
      </c>
    </row>
    <row r="347">
      <c r="A347" s="115" t="n"/>
      <c r="G347" s="116" t="n"/>
      <c r="H347" s="116" t="n"/>
      <c r="I347" s="117">
        <f>IF(G347&lt;&gt;"",G347-H347,"")</f>
        <v/>
      </c>
    </row>
    <row r="348">
      <c r="A348" s="115" t="n"/>
      <c r="G348" s="116" t="n"/>
      <c r="H348" s="116" t="n"/>
      <c r="I348" s="117">
        <f>IF(G348&lt;&gt;"",G348-H348,"")</f>
        <v/>
      </c>
    </row>
    <row r="349">
      <c r="A349" s="115" t="n"/>
      <c r="G349" s="116" t="n"/>
      <c r="H349" s="116" t="n"/>
      <c r="I349" s="117">
        <f>IF(G349&lt;&gt;"",G349-H349,"")</f>
        <v/>
      </c>
    </row>
    <row r="350">
      <c r="A350" s="115" t="n"/>
      <c r="G350" s="116" t="n"/>
      <c r="H350" s="116" t="n"/>
      <c r="I350" s="117">
        <f>IF(G350&lt;&gt;"",G350-H350,"")</f>
        <v/>
      </c>
    </row>
    <row r="351">
      <c r="A351" s="115" t="n"/>
      <c r="G351" s="116" t="n"/>
      <c r="H351" s="116" t="n"/>
      <c r="I351" s="117">
        <f>IF(G351&lt;&gt;"",G351-H351,"")</f>
        <v/>
      </c>
    </row>
    <row r="352">
      <c r="A352" s="115" t="n"/>
      <c r="G352" s="116" t="n"/>
      <c r="H352" s="116" t="n"/>
      <c r="I352" s="117">
        <f>IF(G352&lt;&gt;"",G352-H352,"")</f>
        <v/>
      </c>
    </row>
    <row r="353">
      <c r="A353" s="115" t="n"/>
      <c r="G353" s="116" t="n"/>
      <c r="H353" s="116" t="n"/>
      <c r="I353" s="117">
        <f>IF(G353&lt;&gt;"",G353-H353,"")</f>
        <v/>
      </c>
    </row>
    <row r="354">
      <c r="A354" s="115" t="n"/>
      <c r="G354" s="116" t="n"/>
      <c r="H354" s="116" t="n"/>
      <c r="I354" s="117">
        <f>IF(G354&lt;&gt;"",G354-H354,"")</f>
        <v/>
      </c>
    </row>
    <row r="355">
      <c r="A355" s="115" t="n"/>
      <c r="G355" s="116" t="n"/>
      <c r="H355" s="116" t="n"/>
      <c r="I355" s="117">
        <f>IF(G355&lt;&gt;"",G355-H355,"")</f>
        <v/>
      </c>
    </row>
    <row r="356">
      <c r="A356" s="115" t="n"/>
      <c r="G356" s="116" t="n"/>
      <c r="H356" s="116" t="n"/>
      <c r="I356" s="117">
        <f>IF(G356&lt;&gt;"",G356-H356,"")</f>
        <v/>
      </c>
    </row>
    <row r="357">
      <c r="A357" s="115" t="n"/>
      <c r="G357" s="116" t="n"/>
      <c r="H357" s="116" t="n"/>
      <c r="I357" s="117">
        <f>IF(G357&lt;&gt;"",G357-H357,"")</f>
        <v/>
      </c>
    </row>
    <row r="358">
      <c r="A358" s="115" t="n"/>
      <c r="G358" s="116" t="n"/>
      <c r="H358" s="116" t="n"/>
      <c r="I358" s="117">
        <f>IF(G358&lt;&gt;"",G358-H358,"")</f>
        <v/>
      </c>
    </row>
    <row r="359">
      <c r="A359" s="115" t="n"/>
      <c r="G359" s="116" t="n"/>
      <c r="H359" s="116" t="n"/>
      <c r="I359" s="117">
        <f>IF(G359&lt;&gt;"",G359-H359,"")</f>
        <v/>
      </c>
    </row>
    <row r="360">
      <c r="A360" s="115" t="n"/>
      <c r="G360" s="116" t="n"/>
      <c r="H360" s="116" t="n"/>
      <c r="I360" s="117">
        <f>IF(G360&lt;&gt;"",G360-H360,"")</f>
        <v/>
      </c>
    </row>
    <row r="361">
      <c r="A361" s="115" t="n"/>
      <c r="G361" s="116" t="n"/>
      <c r="H361" s="116" t="n"/>
      <c r="I361" s="117">
        <f>IF(G361&lt;&gt;"",G361-H361,"")</f>
        <v/>
      </c>
    </row>
    <row r="362">
      <c r="A362" s="115" t="n"/>
      <c r="G362" s="116" t="n"/>
      <c r="H362" s="116" t="n"/>
      <c r="I362" s="117">
        <f>IF(G362&lt;&gt;"",G362-H362,"")</f>
        <v/>
      </c>
    </row>
    <row r="363">
      <c r="A363" s="115" t="n"/>
      <c r="G363" s="116" t="n"/>
      <c r="H363" s="116" t="n"/>
      <c r="I363" s="117">
        <f>IF(G363&lt;&gt;"",G363-H363,"")</f>
        <v/>
      </c>
    </row>
    <row r="364">
      <c r="A364" s="115" t="n"/>
      <c r="G364" s="116" t="n"/>
      <c r="H364" s="116" t="n"/>
      <c r="I364" s="117">
        <f>IF(G364&lt;&gt;"",G364-H364,"")</f>
        <v/>
      </c>
    </row>
    <row r="365">
      <c r="A365" s="115" t="n"/>
      <c r="G365" s="116" t="n"/>
      <c r="H365" s="116" t="n"/>
      <c r="I365" s="117">
        <f>IF(G365&lt;&gt;"",G365-H365,"")</f>
        <v/>
      </c>
    </row>
    <row r="366">
      <c r="A366" s="115" t="n"/>
      <c r="G366" s="116" t="n"/>
      <c r="H366" s="116" t="n"/>
      <c r="I366" s="117">
        <f>IF(G366&lt;&gt;"",G366-H366,"")</f>
        <v/>
      </c>
    </row>
    <row r="367">
      <c r="A367" s="115" t="n"/>
      <c r="G367" s="116" t="n"/>
      <c r="H367" s="116" t="n"/>
      <c r="I367" s="117">
        <f>IF(G367&lt;&gt;"",G367-H367,"")</f>
        <v/>
      </c>
    </row>
    <row r="368">
      <c r="A368" s="115" t="n"/>
      <c r="G368" s="116" t="n"/>
      <c r="H368" s="116" t="n"/>
      <c r="I368" s="117">
        <f>IF(G368&lt;&gt;"",G368-H368,"")</f>
        <v/>
      </c>
    </row>
    <row r="369">
      <c r="A369" s="115" t="n"/>
      <c r="G369" s="116" t="n"/>
      <c r="H369" s="116" t="n"/>
      <c r="I369" s="117">
        <f>IF(G369&lt;&gt;"",G369-H369,"")</f>
        <v/>
      </c>
    </row>
    <row r="370">
      <c r="A370" s="115" t="n"/>
      <c r="G370" s="116" t="n"/>
      <c r="H370" s="116" t="n"/>
      <c r="I370" s="117">
        <f>IF(G370&lt;&gt;"",G370-H370,"")</f>
        <v/>
      </c>
    </row>
    <row r="371">
      <c r="A371" s="115" t="n"/>
      <c r="G371" s="116" t="n"/>
      <c r="H371" s="116" t="n"/>
      <c r="I371" s="117">
        <f>IF(G371&lt;&gt;"",G371-H371,"")</f>
        <v/>
      </c>
    </row>
    <row r="372">
      <c r="A372" s="115" t="n"/>
      <c r="G372" s="116" t="n"/>
      <c r="H372" s="116" t="n"/>
      <c r="I372" s="117">
        <f>IF(G372&lt;&gt;"",G372-H372,"")</f>
        <v/>
      </c>
    </row>
    <row r="373">
      <c r="A373" s="115" t="n"/>
      <c r="G373" s="116" t="n"/>
      <c r="H373" s="116" t="n"/>
      <c r="I373" s="117">
        <f>IF(G373&lt;&gt;"",G373-H373,"")</f>
        <v/>
      </c>
    </row>
    <row r="374">
      <c r="A374" s="115" t="n"/>
      <c r="G374" s="116" t="n"/>
      <c r="H374" s="116" t="n"/>
      <c r="I374" s="117">
        <f>IF(G374&lt;&gt;"",G374-H374,"")</f>
        <v/>
      </c>
    </row>
    <row r="375">
      <c r="A375" s="115" t="n"/>
      <c r="G375" s="116" t="n"/>
      <c r="H375" s="116" t="n"/>
      <c r="I375" s="117">
        <f>IF(G375&lt;&gt;"",G375-H375,"")</f>
        <v/>
      </c>
    </row>
    <row r="376">
      <c r="A376" s="115" t="n"/>
      <c r="G376" s="116" t="n"/>
      <c r="H376" s="116" t="n"/>
      <c r="I376" s="117">
        <f>IF(G376&lt;&gt;"",G376-H376,"")</f>
        <v/>
      </c>
    </row>
    <row r="377">
      <c r="A377" s="115" t="n"/>
      <c r="G377" s="116" t="n"/>
      <c r="H377" s="116" t="n"/>
      <c r="I377" s="117">
        <f>IF(G377&lt;&gt;"",G377-H377,"")</f>
        <v/>
      </c>
    </row>
    <row r="378">
      <c r="A378" s="115" t="n"/>
      <c r="G378" s="116" t="n"/>
      <c r="H378" s="116" t="n"/>
      <c r="I378" s="117">
        <f>IF(G378&lt;&gt;"",G378-H378,"")</f>
        <v/>
      </c>
    </row>
    <row r="379">
      <c r="A379" s="115" t="n"/>
      <c r="G379" s="116" t="n"/>
      <c r="H379" s="116" t="n"/>
      <c r="I379" s="117">
        <f>IF(G379&lt;&gt;"",G379-H379,"")</f>
        <v/>
      </c>
    </row>
    <row r="380">
      <c r="A380" s="115" t="n"/>
      <c r="G380" s="116" t="n"/>
      <c r="H380" s="116" t="n"/>
      <c r="I380" s="117">
        <f>IF(G380&lt;&gt;"",G380-H380,"")</f>
        <v/>
      </c>
    </row>
    <row r="381">
      <c r="A381" s="115" t="n"/>
      <c r="G381" s="116" t="n"/>
      <c r="H381" s="116" t="n"/>
      <c r="I381" s="117">
        <f>IF(G381&lt;&gt;"",G381-H381,"")</f>
        <v/>
      </c>
    </row>
    <row r="382">
      <c r="A382" s="115" t="n"/>
      <c r="G382" s="116" t="n"/>
      <c r="H382" s="116" t="n"/>
      <c r="I382" s="117">
        <f>IF(G382&lt;&gt;"",G382-H382,"")</f>
        <v/>
      </c>
    </row>
    <row r="383">
      <c r="A383" s="115" t="n"/>
      <c r="G383" s="116" t="n"/>
      <c r="H383" s="116" t="n"/>
      <c r="I383" s="117">
        <f>IF(G383&lt;&gt;"",G383-H383,"")</f>
        <v/>
      </c>
    </row>
    <row r="384">
      <c r="A384" s="115" t="n"/>
      <c r="G384" s="116" t="n"/>
      <c r="H384" s="116" t="n"/>
      <c r="I384" s="117">
        <f>IF(G384&lt;&gt;"",G384-H384,"")</f>
        <v/>
      </c>
    </row>
    <row r="385">
      <c r="A385" s="115" t="n"/>
      <c r="G385" s="116" t="n"/>
      <c r="H385" s="116" t="n"/>
      <c r="I385" s="117">
        <f>IF(G385&lt;&gt;"",G385-H385,"")</f>
        <v/>
      </c>
    </row>
    <row r="386">
      <c r="A386" s="115" t="n"/>
      <c r="G386" s="116" t="n"/>
      <c r="H386" s="116" t="n"/>
      <c r="I386" s="117">
        <f>IF(G386&lt;&gt;"",G386-H386,"")</f>
        <v/>
      </c>
    </row>
    <row r="387">
      <c r="A387" s="115" t="n"/>
      <c r="G387" s="116" t="n"/>
      <c r="H387" s="116" t="n"/>
      <c r="I387" s="117">
        <f>IF(G387&lt;&gt;"",G387-H387,"")</f>
        <v/>
      </c>
    </row>
    <row r="388">
      <c r="A388" s="115" t="n"/>
      <c r="G388" s="116" t="n"/>
      <c r="H388" s="116" t="n"/>
      <c r="I388" s="117">
        <f>IF(G388&lt;&gt;"",G388-H388,"")</f>
        <v/>
      </c>
    </row>
    <row r="389">
      <c r="A389" s="115" t="n"/>
      <c r="G389" s="116" t="n"/>
      <c r="H389" s="116" t="n"/>
      <c r="I389" s="117">
        <f>IF(G389&lt;&gt;"",G389-H389,"")</f>
        <v/>
      </c>
    </row>
    <row r="390">
      <c r="A390" s="115" t="n"/>
      <c r="G390" s="116" t="n"/>
      <c r="H390" s="116" t="n"/>
      <c r="I390" s="117">
        <f>IF(G390&lt;&gt;"",G390-H390,"")</f>
        <v/>
      </c>
    </row>
    <row r="391">
      <c r="A391" s="115" t="n"/>
      <c r="G391" s="116" t="n"/>
      <c r="H391" s="116" t="n"/>
      <c r="I391" s="117">
        <f>IF(G391&lt;&gt;"",G391-H391,"")</f>
        <v/>
      </c>
    </row>
    <row r="392">
      <c r="A392" s="115" t="n"/>
      <c r="G392" s="116" t="n"/>
      <c r="H392" s="116" t="n"/>
      <c r="I392" s="117">
        <f>IF(G392&lt;&gt;"",G392-H392,"")</f>
        <v/>
      </c>
    </row>
    <row r="393">
      <c r="A393" s="115" t="n"/>
      <c r="G393" s="116" t="n"/>
      <c r="H393" s="116" t="n"/>
      <c r="I393" s="117">
        <f>IF(G393&lt;&gt;"",G393-H393,"")</f>
        <v/>
      </c>
    </row>
    <row r="394">
      <c r="A394" s="115" t="n"/>
      <c r="G394" s="116" t="n"/>
      <c r="H394" s="116" t="n"/>
      <c r="I394" s="117">
        <f>IF(G394&lt;&gt;"",G394-H394,"")</f>
        <v/>
      </c>
    </row>
    <row r="395">
      <c r="A395" s="115" t="n"/>
      <c r="G395" s="116" t="n"/>
      <c r="H395" s="116" t="n"/>
      <c r="I395" s="117">
        <f>IF(G395&lt;&gt;"",G395-H395,"")</f>
        <v/>
      </c>
    </row>
    <row r="396">
      <c r="A396" s="115" t="n"/>
      <c r="G396" s="116" t="n"/>
      <c r="H396" s="116" t="n"/>
      <c r="I396" s="117">
        <f>IF(G396&lt;&gt;"",G396-H396,"")</f>
        <v/>
      </c>
    </row>
    <row r="397">
      <c r="A397" s="115" t="n"/>
      <c r="G397" s="116" t="n"/>
      <c r="H397" s="116" t="n"/>
      <c r="I397" s="117">
        <f>IF(G397&lt;&gt;"",G397-H397,"")</f>
        <v/>
      </c>
    </row>
    <row r="398">
      <c r="A398" s="115" t="n"/>
      <c r="G398" s="116" t="n"/>
      <c r="H398" s="116" t="n"/>
      <c r="I398" s="117">
        <f>IF(G398&lt;&gt;"",G398-H398,"")</f>
        <v/>
      </c>
    </row>
    <row r="399">
      <c r="A399" s="115" t="n"/>
      <c r="G399" s="116" t="n"/>
      <c r="H399" s="116" t="n"/>
      <c r="I399" s="117">
        <f>IF(G399&lt;&gt;"",G399-H399,"")</f>
        <v/>
      </c>
    </row>
    <row r="400">
      <c r="A400" s="115" t="n"/>
      <c r="G400" s="116" t="n"/>
      <c r="H400" s="116" t="n"/>
      <c r="I400" s="117">
        <f>IF(G400&lt;&gt;"",G400-H400,"")</f>
        <v/>
      </c>
    </row>
  </sheetData>
  <mergeCells count="2">
    <mergeCell ref="B106:F106"/>
    <mergeCell ref="B2:N2"/>
  </mergeCells>
  <conditionalFormatting sqref="F4:F400">
    <cfRule type="containsText" priority="1" operator="containsText" dxfId="0" text="Confirmado">
      <formula>NOT(ISERROR(SEARCH("Confirmado",F4)))</formula>
    </cfRule>
    <cfRule type="containsText" priority="2" operator="containsText" dxfId="1" text="Concluído">
      <formula>NOT(ISERROR(SEARCH("Concluído",F4)))</formula>
    </cfRule>
    <cfRule type="containsText" priority="3" operator="containsText" dxfId="2" text="Cancelado">
      <formula>NOT(ISERROR(SEARCH("Cancelado",F4)))</formula>
    </cfRule>
    <cfRule type="containsText" priority="4" operator="containsText" dxfId="3" text="No-show">
      <formula>NOT(ISERROR(SEARCH("No-show",F4)))</formula>
    </cfRule>
    <cfRule type="containsText" priority="5" operator="containsText" dxfId="4" text="Remarcado">
      <formula>NOT(ISERROR(SEARCH("Remarcado",F4)))</formula>
    </cfRule>
  </conditionalFormatting>
  <dataValidations count="3">
    <dataValidation sqref="E4:E400" showDropDown="0" showInputMessage="0" showErrorMessage="0" allowBlank="0" type="list">
      <formula1>"Old School,New School,Realismo,Blackwork,Fineline,Aquarela,Tribal,Geométrico,Japonês,Neotradicional,Lettering,Cover-Up,Outro"</formula1>
    </dataValidation>
    <dataValidation sqref="F4:F400" showDropDown="0" showInputMessage="0" showErrorMessage="0" allowBlank="0" type="list">
      <formula1>"✅ Confirmado,⏳ Aguard. Sinal,🔄 Em Andamento,💰 Concluído,❌ Cancelado,🔁 Remarcado,👻 No-show"</formula1>
    </dataValidation>
    <dataValidation sqref="K4:K400" showDropDown="0" showInputMessage="0" showErrorMessage="0" allowBlank="0" type="list">
      <formula1>"Estúdio Principal,Estúdio 2,Domicílio,Evento"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1E8C"/>
    <outlinePr summaryBelow="1" summaryRight="1"/>
    <pageSetUpPr/>
  </sheetPr>
  <dimension ref="A1:S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22" customWidth="1" min="4" max="4"/>
    <col width="12" customWidth="1" min="5" max="5"/>
    <col width="14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0" customWidth="1" min="15" max="15"/>
    <col width="18" customWidth="1" min="16" max="16"/>
    <col width="14" customWidth="1" min="17" max="17"/>
    <col width="13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5" customHeight="1">
      <c r="A2" s="1" t="n"/>
      <c r="B2" s="37" t="inlineStr">
        <is>
          <t>👥  CRM DE CLIENTES — CENTRAL TATTOO</t>
        </is>
      </c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18" t="inlineStr">
        <is>
          <t>TICKET MÉDIO</t>
        </is>
      </c>
      <c r="O3" s="118" t="inlineStr">
        <is>
          <t>NPS (0-10)</t>
        </is>
      </c>
      <c r="P3" s="118" t="inlineStr">
        <is>
          <t>INSTAGRAM</t>
        </is>
      </c>
      <c r="Q3" s="118" t="inlineStr">
        <is>
          <t>ORIGEM</t>
        </is>
      </c>
      <c r="R3" s="118" t="inlineStr">
        <is>
          <t>ANIVERSÁRIO</t>
        </is>
      </c>
      <c r="S3" s="1" t="n"/>
    </row>
    <row r="4" ht="22" customHeight="1">
      <c r="A4" s="1" t="n"/>
      <c r="B4" s="38" t="inlineStr">
        <is>
          <t>NOME</t>
        </is>
      </c>
      <c r="C4" s="38" t="inlineStr">
        <is>
          <t>TELEFONE</t>
        </is>
      </c>
      <c r="D4" s="119" t="inlineStr">
        <is>
          <t>EMAIL</t>
        </is>
      </c>
      <c r="E4" s="38" t="inlineStr">
        <is>
          <t>DATA NASC.</t>
        </is>
      </c>
      <c r="F4" s="38" t="inlineStr">
        <is>
          <t>CIDADE</t>
        </is>
      </c>
      <c r="G4" s="38" t="inlineStr">
        <is>
          <t>TATTOOS FEITAS</t>
        </is>
      </c>
      <c r="H4" s="119" t="inlineStr">
        <is>
          <t>STATUS</t>
        </is>
      </c>
      <c r="I4" s="119" t="inlineStr">
        <is>
          <t>ÚLTIMO CONTATO</t>
        </is>
      </c>
      <c r="J4" s="38" t="inlineStr">
        <is>
          <t>PRÓX. RETORNO</t>
        </is>
      </c>
      <c r="K4" s="38" t="inlineStr">
        <is>
          <t>ESTILO PREF.</t>
        </is>
      </c>
      <c r="L4" s="105" t="inlineStr">
        <is>
          <t>INDICADO POR</t>
        </is>
      </c>
      <c r="M4" s="38" t="inlineStr">
        <is>
          <t>TOTAL GASTO (R$)</t>
        </is>
      </c>
      <c r="N4" s="106">
        <f>IF(AND(L4&lt;&gt;"",F4&gt;0),L4/F4,"")</f>
        <v/>
      </c>
      <c r="O4" s="1" t="n"/>
      <c r="P4" s="1" t="n"/>
      <c r="Q4" s="1" t="n"/>
      <c r="R4" s="120">
        <f>IF(D4&lt;&gt;"",IF(MONTH(D4)=MONTH(TODAY()),"🎂 Este mês!",""),"")</f>
        <v/>
      </c>
      <c r="S4" s="1" t="n"/>
    </row>
    <row r="5" ht="18" customHeight="1">
      <c r="A5" s="1" t="n"/>
      <c r="B5" s="39" t="n"/>
      <c r="C5" s="39" t="n"/>
      <c r="D5" s="101" t="n"/>
      <c r="E5" s="39" t="n"/>
      <c r="F5" s="39" t="n"/>
      <c r="G5" s="39" t="n"/>
      <c r="H5" s="101" t="n"/>
      <c r="I5" s="101" t="n"/>
      <c r="J5" s="39" t="n"/>
      <c r="K5" s="39" t="n"/>
      <c r="L5" s="107" t="n"/>
      <c r="M5" s="40" t="n"/>
      <c r="N5" s="108">
        <f>IF(AND(L5&lt;&gt;"",F5&gt;0),L5/F5,"")</f>
        <v/>
      </c>
      <c r="O5" s="1" t="n"/>
      <c r="P5" s="1" t="n"/>
      <c r="Q5" s="1" t="n"/>
      <c r="R5" s="120">
        <f>IF(D5&lt;&gt;"",IF(MONTH(D5)=MONTH(TODAY()),"🎂 Este mês!",""),"")</f>
        <v/>
      </c>
      <c r="S5" s="1" t="n"/>
    </row>
    <row r="6" ht="18" customHeight="1">
      <c r="A6" s="1" t="n"/>
      <c r="B6" s="33" t="n"/>
      <c r="C6" s="33" t="n"/>
      <c r="D6" s="102" t="n"/>
      <c r="E6" s="33" t="n"/>
      <c r="F6" s="33" t="n"/>
      <c r="G6" s="33" t="n"/>
      <c r="H6" s="102" t="n"/>
      <c r="I6" s="102" t="n"/>
      <c r="J6" s="33" t="n"/>
      <c r="K6" s="33" t="n"/>
      <c r="L6" s="109" t="n"/>
      <c r="M6" s="42" t="n"/>
      <c r="N6" s="110">
        <f>IF(AND(L6&lt;&gt;"",F6&gt;0),L6/F6,"")</f>
        <v/>
      </c>
      <c r="O6" s="1" t="n"/>
      <c r="P6" s="1" t="n"/>
      <c r="Q6" s="1" t="n"/>
      <c r="R6" s="120">
        <f>IF(D6&lt;&gt;"",IF(MONTH(D6)=MONTH(TODAY()),"🎂 Este mês!",""),"")</f>
        <v/>
      </c>
      <c r="S6" s="1" t="n"/>
    </row>
    <row r="7" ht="18" customHeight="1">
      <c r="A7" s="1" t="n"/>
      <c r="B7" s="39" t="n"/>
      <c r="C7" s="39" t="n"/>
      <c r="D7" s="101" t="n"/>
      <c r="E7" s="39" t="n"/>
      <c r="F7" s="39" t="n"/>
      <c r="G7" s="39" t="n"/>
      <c r="H7" s="101" t="n"/>
      <c r="I7" s="101" t="n"/>
      <c r="J7" s="39" t="n"/>
      <c r="K7" s="39" t="n"/>
      <c r="L7" s="107" t="n"/>
      <c r="M7" s="40" t="n"/>
      <c r="N7" s="108">
        <f>IF(AND(L7&lt;&gt;"",F7&gt;0),L7/F7,"")</f>
        <v/>
      </c>
      <c r="O7" s="1" t="n"/>
      <c r="P7" s="1" t="n"/>
      <c r="Q7" s="1" t="n"/>
      <c r="R7" s="120">
        <f>IF(D7&lt;&gt;"",IF(MONTH(D7)=MONTH(TODAY()),"🎂 Este mês!",""),"")</f>
        <v/>
      </c>
      <c r="S7" s="1" t="n"/>
    </row>
    <row r="8" ht="18" customHeight="1">
      <c r="A8" s="1" t="n"/>
      <c r="B8" s="33" t="n"/>
      <c r="C8" s="33" t="n"/>
      <c r="D8" s="102" t="n"/>
      <c r="E8" s="33" t="n"/>
      <c r="F8" s="33" t="n"/>
      <c r="G8" s="33" t="n"/>
      <c r="H8" s="102" t="n"/>
      <c r="I8" s="102" t="n"/>
      <c r="J8" s="33" t="n"/>
      <c r="K8" s="33" t="n"/>
      <c r="L8" s="109" t="n"/>
      <c r="M8" s="42" t="n"/>
      <c r="N8" s="110">
        <f>IF(AND(L8&lt;&gt;"",F8&gt;0),L8/F8,"")</f>
        <v/>
      </c>
      <c r="O8" s="1" t="n"/>
      <c r="P8" s="1" t="n"/>
      <c r="Q8" s="1" t="n"/>
      <c r="R8" s="120">
        <f>IF(D8&lt;&gt;"",IF(MONTH(D8)=MONTH(TODAY()),"🎂 Este mês!",""),"")</f>
        <v/>
      </c>
      <c r="S8" s="1" t="n"/>
    </row>
    <row r="9" ht="18" customHeight="1">
      <c r="A9" s="1" t="n"/>
      <c r="B9" s="39" t="n"/>
      <c r="C9" s="39" t="n"/>
      <c r="D9" s="101" t="n"/>
      <c r="E9" s="39" t="n"/>
      <c r="F9" s="39" t="n"/>
      <c r="G9" s="39" t="n"/>
      <c r="H9" s="101" t="n"/>
      <c r="I9" s="101" t="n"/>
      <c r="J9" s="39" t="n"/>
      <c r="K9" s="39" t="n"/>
      <c r="L9" s="107" t="n"/>
      <c r="M9" s="40" t="n"/>
      <c r="N9" s="108">
        <f>IF(AND(L9&lt;&gt;"",F9&gt;0),L9/F9,"")</f>
        <v/>
      </c>
      <c r="O9" s="1" t="n"/>
      <c r="P9" s="1" t="n"/>
      <c r="Q9" s="1" t="n"/>
      <c r="R9" s="120">
        <f>IF(D9&lt;&gt;"",IF(MONTH(D9)=MONTH(TODAY()),"🎂 Este mês!",""),"")</f>
        <v/>
      </c>
      <c r="S9" s="1" t="n"/>
    </row>
    <row r="10" ht="18" customHeight="1">
      <c r="A10" s="1" t="n"/>
      <c r="B10" s="33" t="n"/>
      <c r="C10" s="33" t="n"/>
      <c r="D10" s="102" t="n"/>
      <c r="E10" s="33" t="n"/>
      <c r="F10" s="33" t="n"/>
      <c r="G10" s="33" t="n"/>
      <c r="H10" s="102" t="n"/>
      <c r="I10" s="102" t="n"/>
      <c r="J10" s="33" t="n"/>
      <c r="K10" s="33" t="n"/>
      <c r="L10" s="109" t="n"/>
      <c r="M10" s="42" t="n"/>
      <c r="N10" s="110">
        <f>IF(AND(L10&lt;&gt;"",F10&gt;0),L10/F10,"")</f>
        <v/>
      </c>
      <c r="O10" s="1" t="n"/>
      <c r="P10" s="1" t="n"/>
      <c r="Q10" s="1" t="n"/>
      <c r="R10" s="120">
        <f>IF(D10&lt;&gt;"",IF(MONTH(D10)=MONTH(TODAY()),"🎂 Este mês!",""),"")</f>
        <v/>
      </c>
      <c r="S10" s="1" t="n"/>
    </row>
    <row r="11" ht="18" customHeight="1">
      <c r="A11" s="1" t="n"/>
      <c r="B11" s="39" t="n"/>
      <c r="C11" s="39" t="n"/>
      <c r="D11" s="101" t="n"/>
      <c r="E11" s="39" t="n"/>
      <c r="F11" s="39" t="n"/>
      <c r="G11" s="39" t="n"/>
      <c r="H11" s="101" t="n"/>
      <c r="I11" s="101" t="n"/>
      <c r="J11" s="39" t="n"/>
      <c r="K11" s="39" t="n"/>
      <c r="L11" s="107" t="n"/>
      <c r="M11" s="40" t="n"/>
      <c r="N11" s="108">
        <f>IF(AND(L11&lt;&gt;"",F11&gt;0),L11/F11,"")</f>
        <v/>
      </c>
      <c r="O11" s="1" t="n"/>
      <c r="P11" s="1" t="n"/>
      <c r="Q11" s="1" t="n"/>
      <c r="R11" s="120">
        <f>IF(D11&lt;&gt;"",IF(MONTH(D11)=MONTH(TODAY()),"🎂 Este mês!",""),"")</f>
        <v/>
      </c>
      <c r="S11" s="1" t="n"/>
    </row>
    <row r="12" ht="18" customHeight="1">
      <c r="A12" s="1" t="n"/>
      <c r="B12" s="33" t="n"/>
      <c r="C12" s="33" t="n"/>
      <c r="D12" s="102" t="n"/>
      <c r="E12" s="33" t="n"/>
      <c r="F12" s="33" t="n"/>
      <c r="G12" s="33" t="n"/>
      <c r="H12" s="102" t="n"/>
      <c r="I12" s="102" t="n"/>
      <c r="J12" s="33" t="n"/>
      <c r="K12" s="33" t="n"/>
      <c r="L12" s="109" t="n"/>
      <c r="M12" s="42" t="n"/>
      <c r="N12" s="110">
        <f>IF(AND(L12&lt;&gt;"",F12&gt;0),L12/F12,"")</f>
        <v/>
      </c>
      <c r="O12" s="1" t="n"/>
      <c r="P12" s="1" t="n"/>
      <c r="Q12" s="1" t="n"/>
      <c r="R12" s="120">
        <f>IF(D12&lt;&gt;"",IF(MONTH(D12)=MONTH(TODAY()),"🎂 Este mês!",""),"")</f>
        <v/>
      </c>
      <c r="S12" s="1" t="n"/>
    </row>
    <row r="13" ht="18" customHeight="1">
      <c r="A13" s="1" t="n"/>
      <c r="B13" s="39" t="n"/>
      <c r="C13" s="39" t="n"/>
      <c r="D13" s="101" t="n"/>
      <c r="E13" s="39" t="n"/>
      <c r="F13" s="39" t="n"/>
      <c r="G13" s="39" t="n"/>
      <c r="H13" s="101" t="n"/>
      <c r="I13" s="101" t="n"/>
      <c r="J13" s="39" t="n"/>
      <c r="K13" s="39" t="n"/>
      <c r="L13" s="107" t="n"/>
      <c r="M13" s="40" t="n"/>
      <c r="N13" s="108">
        <f>IF(AND(L13&lt;&gt;"",F13&gt;0),L13/F13,"")</f>
        <v/>
      </c>
      <c r="O13" s="1" t="n"/>
      <c r="P13" s="1" t="n"/>
      <c r="Q13" s="1" t="n"/>
      <c r="R13" s="120">
        <f>IF(D13&lt;&gt;"",IF(MONTH(D13)=MONTH(TODAY()),"🎂 Este mês!",""),"")</f>
        <v/>
      </c>
      <c r="S13" s="1" t="n"/>
    </row>
    <row r="14" ht="18" customHeight="1">
      <c r="A14" s="1" t="n"/>
      <c r="B14" s="33" t="n"/>
      <c r="C14" s="33" t="n"/>
      <c r="D14" s="102" t="n"/>
      <c r="E14" s="33" t="n"/>
      <c r="F14" s="33" t="n"/>
      <c r="G14" s="33" t="n"/>
      <c r="H14" s="102" t="n"/>
      <c r="I14" s="102" t="n"/>
      <c r="J14" s="33" t="n"/>
      <c r="K14" s="33" t="n"/>
      <c r="L14" s="109" t="n"/>
      <c r="M14" s="42" t="n"/>
      <c r="N14" s="110">
        <f>IF(AND(L14&lt;&gt;"",F14&gt;0),L14/F14,"")</f>
        <v/>
      </c>
      <c r="O14" s="1" t="n"/>
      <c r="P14" s="1" t="n"/>
      <c r="Q14" s="1" t="n"/>
      <c r="R14" s="120">
        <f>IF(D14&lt;&gt;"",IF(MONTH(D14)=MONTH(TODAY()),"🎂 Este mês!",""),"")</f>
        <v/>
      </c>
      <c r="S14" s="1" t="n"/>
    </row>
    <row r="15" ht="18" customHeight="1">
      <c r="A15" s="1" t="n"/>
      <c r="B15" s="39" t="n"/>
      <c r="C15" s="39" t="n"/>
      <c r="D15" s="101" t="n"/>
      <c r="E15" s="39" t="n"/>
      <c r="F15" s="39" t="n"/>
      <c r="G15" s="39" t="n"/>
      <c r="H15" s="101" t="n"/>
      <c r="I15" s="101" t="n"/>
      <c r="J15" s="39" t="n"/>
      <c r="K15" s="39" t="n"/>
      <c r="L15" s="107" t="n"/>
      <c r="M15" s="40" t="n"/>
      <c r="N15" s="108">
        <f>IF(AND(L15&lt;&gt;"",F15&gt;0),L15/F15,"")</f>
        <v/>
      </c>
      <c r="O15" s="1" t="n"/>
      <c r="P15" s="1" t="n"/>
      <c r="Q15" s="1" t="n"/>
      <c r="R15" s="120">
        <f>IF(D15&lt;&gt;"",IF(MONTH(D15)=MONTH(TODAY()),"🎂 Este mês!",""),"")</f>
        <v/>
      </c>
      <c r="S15" s="1" t="n"/>
    </row>
    <row r="16" ht="18" customHeight="1">
      <c r="A16" s="1" t="n"/>
      <c r="B16" s="33" t="n"/>
      <c r="C16" s="33" t="n"/>
      <c r="D16" s="102" t="n"/>
      <c r="E16" s="33" t="n"/>
      <c r="F16" s="33" t="n"/>
      <c r="G16" s="33" t="n"/>
      <c r="H16" s="102" t="n"/>
      <c r="I16" s="102" t="n"/>
      <c r="J16" s="33" t="n"/>
      <c r="K16" s="33" t="n"/>
      <c r="L16" s="109" t="n"/>
      <c r="M16" s="42" t="n"/>
      <c r="N16" s="110">
        <f>IF(AND(L16&lt;&gt;"",F16&gt;0),L16/F16,"")</f>
        <v/>
      </c>
      <c r="O16" s="1" t="n"/>
      <c r="P16" s="1" t="n"/>
      <c r="Q16" s="1" t="n"/>
      <c r="R16" s="120">
        <f>IF(D16&lt;&gt;"",IF(MONTH(D16)=MONTH(TODAY()),"🎂 Este mês!",""),"")</f>
        <v/>
      </c>
      <c r="S16" s="1" t="n"/>
    </row>
    <row r="17" ht="18" customHeight="1">
      <c r="A17" s="1" t="n"/>
      <c r="B17" s="39" t="n"/>
      <c r="C17" s="39" t="n"/>
      <c r="D17" s="101" t="n"/>
      <c r="E17" s="39" t="n"/>
      <c r="F17" s="39" t="n"/>
      <c r="G17" s="39" t="n"/>
      <c r="H17" s="101" t="n"/>
      <c r="I17" s="101" t="n"/>
      <c r="J17" s="39" t="n"/>
      <c r="K17" s="39" t="n"/>
      <c r="L17" s="107" t="n"/>
      <c r="M17" s="40" t="n"/>
      <c r="N17" s="108">
        <f>IF(AND(L17&lt;&gt;"",F17&gt;0),L17/F17,"")</f>
        <v/>
      </c>
      <c r="O17" s="1" t="n"/>
      <c r="P17" s="1" t="n"/>
      <c r="Q17" s="1" t="n"/>
      <c r="R17" s="120">
        <f>IF(D17&lt;&gt;"",IF(MONTH(D17)=MONTH(TODAY()),"🎂 Este mês!",""),"")</f>
        <v/>
      </c>
      <c r="S17" s="1" t="n"/>
    </row>
    <row r="18" ht="18" customHeight="1">
      <c r="A18" s="1" t="n"/>
      <c r="B18" s="33" t="n"/>
      <c r="C18" s="33" t="n"/>
      <c r="D18" s="102" t="n"/>
      <c r="E18" s="33" t="n"/>
      <c r="F18" s="33" t="n"/>
      <c r="G18" s="33" t="n"/>
      <c r="H18" s="102" t="n"/>
      <c r="I18" s="102" t="n"/>
      <c r="J18" s="33" t="n"/>
      <c r="K18" s="33" t="n"/>
      <c r="L18" s="109" t="n"/>
      <c r="M18" s="42" t="n"/>
      <c r="N18" s="110">
        <f>IF(AND(L18&lt;&gt;"",F18&gt;0),L18/F18,"")</f>
        <v/>
      </c>
      <c r="O18" s="1" t="n"/>
      <c r="P18" s="1" t="n"/>
      <c r="Q18" s="1" t="n"/>
      <c r="R18" s="120">
        <f>IF(D18&lt;&gt;"",IF(MONTH(D18)=MONTH(TODAY()),"🎂 Este mês!",""),"")</f>
        <v/>
      </c>
      <c r="S18" s="1" t="n"/>
    </row>
    <row r="19" ht="18" customHeight="1">
      <c r="A19" s="1" t="n"/>
      <c r="B19" s="39" t="n"/>
      <c r="C19" s="39" t="n"/>
      <c r="D19" s="101" t="n"/>
      <c r="E19" s="39" t="n"/>
      <c r="F19" s="39" t="n"/>
      <c r="G19" s="39" t="n"/>
      <c r="H19" s="101" t="n"/>
      <c r="I19" s="101" t="n"/>
      <c r="J19" s="39" t="n"/>
      <c r="K19" s="39" t="n"/>
      <c r="L19" s="107" t="n"/>
      <c r="M19" s="40" t="n"/>
      <c r="N19" s="108">
        <f>IF(AND(L19&lt;&gt;"",F19&gt;0),L19/F19,"")</f>
        <v/>
      </c>
      <c r="O19" s="1" t="n"/>
      <c r="P19" s="1" t="n"/>
      <c r="Q19" s="1" t="n"/>
      <c r="R19" s="120">
        <f>IF(D19&lt;&gt;"",IF(MONTH(D19)=MONTH(TODAY()),"🎂 Este mês!",""),"")</f>
        <v/>
      </c>
      <c r="S19" s="1" t="n"/>
    </row>
    <row r="20" ht="18" customHeight="1">
      <c r="A20" s="1" t="n"/>
      <c r="B20" s="33" t="n"/>
      <c r="C20" s="33" t="n"/>
      <c r="D20" s="102" t="n"/>
      <c r="E20" s="33" t="n"/>
      <c r="F20" s="33" t="n"/>
      <c r="G20" s="33" t="n"/>
      <c r="H20" s="102" t="n"/>
      <c r="I20" s="102" t="n"/>
      <c r="J20" s="33" t="n"/>
      <c r="K20" s="33" t="n"/>
      <c r="L20" s="109" t="n"/>
      <c r="M20" s="42" t="n"/>
      <c r="N20" s="110">
        <f>IF(AND(L20&lt;&gt;"",F20&gt;0),L20/F20,"")</f>
        <v/>
      </c>
      <c r="O20" s="1" t="n"/>
      <c r="P20" s="1" t="n"/>
      <c r="Q20" s="1" t="n"/>
      <c r="R20" s="120">
        <f>IF(D20&lt;&gt;"",IF(MONTH(D20)=MONTH(TODAY()),"🎂 Este mês!",""),"")</f>
        <v/>
      </c>
      <c r="S20" s="1" t="n"/>
    </row>
    <row r="21" ht="18" customHeight="1">
      <c r="A21" s="1" t="n"/>
      <c r="B21" s="39" t="n"/>
      <c r="C21" s="39" t="n"/>
      <c r="D21" s="101" t="n"/>
      <c r="E21" s="39" t="n"/>
      <c r="F21" s="39" t="n"/>
      <c r="G21" s="39" t="n"/>
      <c r="H21" s="101" t="n"/>
      <c r="I21" s="101" t="n"/>
      <c r="J21" s="39" t="n"/>
      <c r="K21" s="39" t="n"/>
      <c r="L21" s="107" t="n"/>
      <c r="M21" s="40" t="n"/>
      <c r="N21" s="108">
        <f>IF(AND(L21&lt;&gt;"",F21&gt;0),L21/F21,"")</f>
        <v/>
      </c>
      <c r="O21" s="1" t="n"/>
      <c r="P21" s="1" t="n"/>
      <c r="Q21" s="1" t="n"/>
      <c r="R21" s="120">
        <f>IF(D21&lt;&gt;"",IF(MONTH(D21)=MONTH(TODAY()),"🎂 Este mês!",""),"")</f>
        <v/>
      </c>
      <c r="S21" s="1" t="n"/>
    </row>
    <row r="22" ht="18" customHeight="1">
      <c r="A22" s="1" t="n"/>
      <c r="B22" s="33" t="n"/>
      <c r="C22" s="33" t="n"/>
      <c r="D22" s="102" t="n"/>
      <c r="E22" s="33" t="n"/>
      <c r="F22" s="33" t="n"/>
      <c r="G22" s="33" t="n"/>
      <c r="H22" s="102" t="n"/>
      <c r="I22" s="102" t="n"/>
      <c r="J22" s="33" t="n"/>
      <c r="K22" s="33" t="n"/>
      <c r="L22" s="109" t="n"/>
      <c r="M22" s="42" t="n"/>
      <c r="N22" s="110">
        <f>IF(AND(L22&lt;&gt;"",F22&gt;0),L22/F22,"")</f>
        <v/>
      </c>
      <c r="O22" s="1" t="n"/>
      <c r="P22" s="1" t="n"/>
      <c r="Q22" s="1" t="n"/>
      <c r="R22" s="120">
        <f>IF(D22&lt;&gt;"",IF(MONTH(D22)=MONTH(TODAY()),"🎂 Este mês!",""),"")</f>
        <v/>
      </c>
      <c r="S22" s="1" t="n"/>
    </row>
    <row r="23" ht="18" customHeight="1">
      <c r="A23" s="1" t="n"/>
      <c r="B23" s="39" t="n"/>
      <c r="C23" s="39" t="n"/>
      <c r="D23" s="101" t="n"/>
      <c r="E23" s="39" t="n"/>
      <c r="F23" s="39" t="n"/>
      <c r="G23" s="39" t="n"/>
      <c r="H23" s="101" t="n"/>
      <c r="I23" s="101" t="n"/>
      <c r="J23" s="39" t="n"/>
      <c r="K23" s="39" t="n"/>
      <c r="L23" s="107" t="n"/>
      <c r="M23" s="40" t="n"/>
      <c r="N23" s="108">
        <f>IF(AND(L23&lt;&gt;"",F23&gt;0),L23/F23,"")</f>
        <v/>
      </c>
      <c r="O23" s="1" t="n"/>
      <c r="P23" s="1" t="n"/>
      <c r="Q23" s="1" t="n"/>
      <c r="R23" s="120">
        <f>IF(D23&lt;&gt;"",IF(MONTH(D23)=MONTH(TODAY()),"🎂 Este mês!",""),"")</f>
        <v/>
      </c>
      <c r="S23" s="1" t="n"/>
    </row>
    <row r="24" ht="18" customHeight="1">
      <c r="A24" s="1" t="n"/>
      <c r="B24" s="33" t="n"/>
      <c r="C24" s="33" t="n"/>
      <c r="D24" s="102" t="n"/>
      <c r="E24" s="33" t="n"/>
      <c r="F24" s="33" t="n"/>
      <c r="G24" s="33" t="n"/>
      <c r="H24" s="102" t="n"/>
      <c r="I24" s="102" t="n"/>
      <c r="J24" s="33" t="n"/>
      <c r="K24" s="33" t="n"/>
      <c r="L24" s="109" t="n"/>
      <c r="M24" s="42" t="n"/>
      <c r="N24" s="110">
        <f>IF(AND(L24&lt;&gt;"",F24&gt;0),L24/F24,"")</f>
        <v/>
      </c>
      <c r="O24" s="1" t="n"/>
      <c r="P24" s="1" t="n"/>
      <c r="Q24" s="1" t="n"/>
      <c r="R24" s="120">
        <f>IF(D24&lt;&gt;"",IF(MONTH(D24)=MONTH(TODAY()),"🎂 Este mês!",""),"")</f>
        <v/>
      </c>
      <c r="S24" s="1" t="n"/>
    </row>
    <row r="25" ht="18" customHeight="1">
      <c r="A25" s="1" t="n"/>
      <c r="B25" s="39" t="n"/>
      <c r="C25" s="39" t="n"/>
      <c r="D25" s="101" t="n"/>
      <c r="E25" s="39" t="n"/>
      <c r="F25" s="39" t="n"/>
      <c r="G25" s="39" t="n"/>
      <c r="H25" s="101" t="n"/>
      <c r="I25" s="101" t="n"/>
      <c r="J25" s="39" t="n"/>
      <c r="K25" s="39" t="n"/>
      <c r="L25" s="107" t="n"/>
      <c r="M25" s="40" t="n"/>
      <c r="N25" s="108">
        <f>IF(AND(L25&lt;&gt;"",F25&gt;0),L25/F25,"")</f>
        <v/>
      </c>
      <c r="O25" s="1" t="n"/>
      <c r="P25" s="1" t="n"/>
      <c r="Q25" s="1" t="n"/>
      <c r="R25" s="120">
        <f>IF(D25&lt;&gt;"",IF(MONTH(D25)=MONTH(TODAY()),"🎂 Este mês!",""),"")</f>
        <v/>
      </c>
      <c r="S25" s="1" t="n"/>
    </row>
    <row r="26" ht="18" customHeight="1">
      <c r="A26" s="1" t="n"/>
      <c r="B26" s="33" t="n"/>
      <c r="C26" s="33" t="n"/>
      <c r="D26" s="102" t="n"/>
      <c r="E26" s="33" t="n"/>
      <c r="F26" s="33" t="n"/>
      <c r="G26" s="33" t="n"/>
      <c r="H26" s="102" t="n"/>
      <c r="I26" s="102" t="n"/>
      <c r="J26" s="33" t="n"/>
      <c r="K26" s="33" t="n"/>
      <c r="L26" s="109" t="n"/>
      <c r="M26" s="42" t="n"/>
      <c r="N26" s="110">
        <f>IF(AND(L26&lt;&gt;"",F26&gt;0),L26/F26,"")</f>
        <v/>
      </c>
      <c r="O26" s="1" t="n"/>
      <c r="P26" s="1" t="n"/>
      <c r="Q26" s="1" t="n"/>
      <c r="R26" s="120">
        <f>IF(D26&lt;&gt;"",IF(MONTH(D26)=MONTH(TODAY()),"🎂 Este mês!",""),"")</f>
        <v/>
      </c>
      <c r="S26" s="1" t="n"/>
    </row>
    <row r="27" ht="18" customHeight="1">
      <c r="A27" s="1" t="n"/>
      <c r="B27" s="39" t="n"/>
      <c r="C27" s="39" t="n"/>
      <c r="D27" s="101" t="n"/>
      <c r="E27" s="39" t="n"/>
      <c r="F27" s="39" t="n"/>
      <c r="G27" s="39" t="n"/>
      <c r="H27" s="101" t="n"/>
      <c r="I27" s="101" t="n"/>
      <c r="J27" s="39" t="n"/>
      <c r="K27" s="39" t="n"/>
      <c r="L27" s="107" t="n"/>
      <c r="M27" s="40" t="n"/>
      <c r="N27" s="108">
        <f>IF(AND(L27&lt;&gt;"",F27&gt;0),L27/F27,"")</f>
        <v/>
      </c>
      <c r="O27" s="1" t="n"/>
      <c r="P27" s="1" t="n"/>
      <c r="Q27" s="1" t="n"/>
      <c r="R27" s="120">
        <f>IF(D27&lt;&gt;"",IF(MONTH(D27)=MONTH(TODAY()),"🎂 Este mês!",""),"")</f>
        <v/>
      </c>
      <c r="S27" s="1" t="n"/>
    </row>
    <row r="28" ht="18" customHeight="1">
      <c r="A28" s="1" t="n"/>
      <c r="B28" s="33" t="n"/>
      <c r="C28" s="33" t="n"/>
      <c r="D28" s="102" t="n"/>
      <c r="E28" s="33" t="n"/>
      <c r="F28" s="33" t="n"/>
      <c r="G28" s="33" t="n"/>
      <c r="H28" s="102" t="n"/>
      <c r="I28" s="102" t="n"/>
      <c r="J28" s="33" t="n"/>
      <c r="K28" s="33" t="n"/>
      <c r="L28" s="109" t="n"/>
      <c r="M28" s="42" t="n"/>
      <c r="N28" s="110">
        <f>IF(AND(L28&lt;&gt;"",F28&gt;0),L28/F28,"")</f>
        <v/>
      </c>
      <c r="O28" s="1" t="n"/>
      <c r="P28" s="1" t="n"/>
      <c r="Q28" s="1" t="n"/>
      <c r="R28" s="120">
        <f>IF(D28&lt;&gt;"",IF(MONTH(D28)=MONTH(TODAY()),"🎂 Este mês!",""),"")</f>
        <v/>
      </c>
      <c r="S28" s="1" t="n"/>
    </row>
    <row r="29" ht="18" customHeight="1">
      <c r="A29" s="1" t="n"/>
      <c r="B29" s="39" t="n"/>
      <c r="C29" s="39" t="n"/>
      <c r="D29" s="101" t="n"/>
      <c r="E29" s="39" t="n"/>
      <c r="F29" s="39" t="n"/>
      <c r="G29" s="39" t="n"/>
      <c r="H29" s="101" t="n"/>
      <c r="I29" s="101" t="n"/>
      <c r="J29" s="39" t="n"/>
      <c r="K29" s="39" t="n"/>
      <c r="L29" s="107" t="n"/>
      <c r="M29" s="40" t="n"/>
      <c r="N29" s="108">
        <f>IF(AND(L29&lt;&gt;"",F29&gt;0),L29/F29,"")</f>
        <v/>
      </c>
      <c r="O29" s="1" t="n"/>
      <c r="P29" s="1" t="n"/>
      <c r="Q29" s="1" t="n"/>
      <c r="R29" s="120">
        <f>IF(D29&lt;&gt;"",IF(MONTH(D29)=MONTH(TODAY()),"🎂 Este mês!",""),"")</f>
        <v/>
      </c>
      <c r="S29" s="1" t="n"/>
    </row>
    <row r="30" ht="18" customHeight="1">
      <c r="A30" s="1" t="n"/>
      <c r="B30" s="33" t="n"/>
      <c r="C30" s="33" t="n"/>
      <c r="D30" s="102" t="n"/>
      <c r="E30" s="33" t="n"/>
      <c r="F30" s="33" t="n"/>
      <c r="G30" s="33" t="n"/>
      <c r="H30" s="102" t="n"/>
      <c r="I30" s="102" t="n"/>
      <c r="J30" s="33" t="n"/>
      <c r="K30" s="33" t="n"/>
      <c r="L30" s="109" t="n"/>
      <c r="M30" s="42" t="n"/>
      <c r="N30" s="110">
        <f>IF(AND(L30&lt;&gt;"",F30&gt;0),L30/F30,"")</f>
        <v/>
      </c>
      <c r="O30" s="1" t="n"/>
      <c r="P30" s="1" t="n"/>
      <c r="Q30" s="1" t="n"/>
      <c r="R30" s="120">
        <f>IF(D30&lt;&gt;"",IF(MONTH(D30)=MONTH(TODAY()),"🎂 Este mês!",""),"")</f>
        <v/>
      </c>
      <c r="S30" s="1" t="n"/>
    </row>
    <row r="31" ht="18" customHeight="1">
      <c r="A31" s="1" t="n"/>
      <c r="B31" s="39" t="n"/>
      <c r="C31" s="39" t="n"/>
      <c r="D31" s="101" t="n"/>
      <c r="E31" s="39" t="n"/>
      <c r="F31" s="39" t="n"/>
      <c r="G31" s="39" t="n"/>
      <c r="H31" s="101" t="n"/>
      <c r="I31" s="101" t="n"/>
      <c r="J31" s="39" t="n"/>
      <c r="K31" s="39" t="n"/>
      <c r="L31" s="107" t="n"/>
      <c r="M31" s="40" t="n"/>
      <c r="N31" s="108">
        <f>IF(AND(L31&lt;&gt;"",F31&gt;0),L31/F31,"")</f>
        <v/>
      </c>
      <c r="O31" s="1" t="n"/>
      <c r="P31" s="1" t="n"/>
      <c r="Q31" s="1" t="n"/>
      <c r="R31" s="120">
        <f>IF(D31&lt;&gt;"",IF(MONTH(D31)=MONTH(TODAY()),"🎂 Este mês!",""),"")</f>
        <v/>
      </c>
      <c r="S31" s="1" t="n"/>
    </row>
    <row r="32" ht="18" customHeight="1">
      <c r="A32" s="1" t="n"/>
      <c r="B32" s="33" t="n"/>
      <c r="C32" s="33" t="n"/>
      <c r="D32" s="102" t="n"/>
      <c r="E32" s="33" t="n"/>
      <c r="F32" s="33" t="n"/>
      <c r="G32" s="33" t="n"/>
      <c r="H32" s="102" t="n"/>
      <c r="I32" s="102" t="n"/>
      <c r="J32" s="33" t="n"/>
      <c r="K32" s="33" t="n"/>
      <c r="L32" s="109" t="n"/>
      <c r="M32" s="42" t="n"/>
      <c r="N32" s="110">
        <f>IF(AND(L32&lt;&gt;"",F32&gt;0),L32/F32,"")</f>
        <v/>
      </c>
      <c r="O32" s="1" t="n"/>
      <c r="P32" s="1" t="n"/>
      <c r="Q32" s="1" t="n"/>
      <c r="R32" s="120">
        <f>IF(D32&lt;&gt;"",IF(MONTH(D32)=MONTH(TODAY()),"🎂 Este mês!",""),"")</f>
        <v/>
      </c>
      <c r="S32" s="1" t="n"/>
    </row>
    <row r="33" ht="18" customHeight="1">
      <c r="A33" s="1" t="n"/>
      <c r="B33" s="39" t="n"/>
      <c r="C33" s="39" t="n"/>
      <c r="D33" s="101" t="n"/>
      <c r="E33" s="39" t="n"/>
      <c r="F33" s="39" t="n"/>
      <c r="G33" s="39" t="n"/>
      <c r="H33" s="101" t="n"/>
      <c r="I33" s="101" t="n"/>
      <c r="J33" s="39" t="n"/>
      <c r="K33" s="39" t="n"/>
      <c r="L33" s="107" t="n"/>
      <c r="M33" s="40" t="n"/>
      <c r="N33" s="108">
        <f>IF(AND(L33&lt;&gt;"",F33&gt;0),L33/F33,"")</f>
        <v/>
      </c>
      <c r="O33" s="1" t="n"/>
      <c r="P33" s="1" t="n"/>
      <c r="Q33" s="1" t="n"/>
      <c r="R33" s="120">
        <f>IF(D33&lt;&gt;"",IF(MONTH(D33)=MONTH(TODAY()),"🎂 Este mês!",""),"")</f>
        <v/>
      </c>
      <c r="S33" s="1" t="n"/>
    </row>
    <row r="34" ht="18" customHeight="1">
      <c r="A34" s="1" t="n"/>
      <c r="B34" s="33" t="n"/>
      <c r="C34" s="33" t="n"/>
      <c r="D34" s="102" t="n"/>
      <c r="E34" s="33" t="n"/>
      <c r="F34" s="33" t="n"/>
      <c r="G34" s="33" t="n"/>
      <c r="H34" s="102" t="n"/>
      <c r="I34" s="102" t="n"/>
      <c r="J34" s="33" t="n"/>
      <c r="K34" s="33" t="n"/>
      <c r="L34" s="109" t="n"/>
      <c r="M34" s="42" t="n"/>
      <c r="N34" s="110">
        <f>IF(AND(L34&lt;&gt;"",F34&gt;0),L34/F34,"")</f>
        <v/>
      </c>
      <c r="O34" s="1" t="n"/>
      <c r="P34" s="1" t="n"/>
      <c r="Q34" s="1" t="n"/>
      <c r="R34" s="120">
        <f>IF(D34&lt;&gt;"",IF(MONTH(D34)=MONTH(TODAY()),"🎂 Este mês!",""),"")</f>
        <v/>
      </c>
      <c r="S34" s="1" t="n"/>
    </row>
    <row r="35" ht="18" customHeight="1">
      <c r="A35" s="1" t="n"/>
      <c r="B35" s="39" t="n"/>
      <c r="C35" s="39" t="n"/>
      <c r="D35" s="101" t="n"/>
      <c r="E35" s="39" t="n"/>
      <c r="F35" s="39" t="n"/>
      <c r="G35" s="39" t="n"/>
      <c r="H35" s="101" t="n"/>
      <c r="I35" s="101" t="n"/>
      <c r="J35" s="39" t="n"/>
      <c r="K35" s="39" t="n"/>
      <c r="L35" s="107" t="n"/>
      <c r="M35" s="40" t="n"/>
      <c r="N35" s="108">
        <f>IF(AND(L35&lt;&gt;"",F35&gt;0),L35/F35,"")</f>
        <v/>
      </c>
      <c r="O35" s="1" t="n"/>
      <c r="P35" s="1" t="n"/>
      <c r="Q35" s="1" t="n"/>
      <c r="R35" s="120">
        <f>IF(D35&lt;&gt;"",IF(MONTH(D35)=MONTH(TODAY()),"🎂 Este mês!",""),"")</f>
        <v/>
      </c>
      <c r="S35" s="1" t="n"/>
    </row>
    <row r="36" ht="18" customHeight="1">
      <c r="A36" s="1" t="n"/>
      <c r="B36" s="33" t="n"/>
      <c r="C36" s="33" t="n"/>
      <c r="D36" s="102" t="n"/>
      <c r="E36" s="33" t="n"/>
      <c r="F36" s="33" t="n"/>
      <c r="G36" s="33" t="n"/>
      <c r="H36" s="102" t="n"/>
      <c r="I36" s="102" t="n"/>
      <c r="J36" s="33" t="n"/>
      <c r="K36" s="33" t="n"/>
      <c r="L36" s="109" t="n"/>
      <c r="M36" s="42" t="n"/>
      <c r="N36" s="110">
        <f>IF(AND(L36&lt;&gt;"",F36&gt;0),L36/F36,"")</f>
        <v/>
      </c>
      <c r="O36" s="1" t="n"/>
      <c r="P36" s="1" t="n"/>
      <c r="Q36" s="1" t="n"/>
      <c r="R36" s="120">
        <f>IF(D36&lt;&gt;"",IF(MONTH(D36)=MONTH(TODAY()),"🎂 Este mês!",""),"")</f>
        <v/>
      </c>
      <c r="S36" s="1" t="n"/>
    </row>
    <row r="37" ht="18" customHeight="1">
      <c r="A37" s="1" t="n"/>
      <c r="B37" s="39" t="n"/>
      <c r="C37" s="39" t="n"/>
      <c r="D37" s="101" t="n"/>
      <c r="E37" s="39" t="n"/>
      <c r="F37" s="39" t="n"/>
      <c r="G37" s="39" t="n"/>
      <c r="H37" s="101" t="n"/>
      <c r="I37" s="101" t="n"/>
      <c r="J37" s="39" t="n"/>
      <c r="K37" s="39" t="n"/>
      <c r="L37" s="107" t="n"/>
      <c r="M37" s="40" t="n"/>
      <c r="N37" s="108">
        <f>IF(AND(L37&lt;&gt;"",F37&gt;0),L37/F37,"")</f>
        <v/>
      </c>
      <c r="O37" s="1" t="n"/>
      <c r="P37" s="1" t="n"/>
      <c r="Q37" s="1" t="n"/>
      <c r="R37" s="120">
        <f>IF(D37&lt;&gt;"",IF(MONTH(D37)=MONTH(TODAY()),"🎂 Este mês!",""),"")</f>
        <v/>
      </c>
      <c r="S37" s="1" t="n"/>
    </row>
    <row r="38" ht="18" customHeight="1">
      <c r="A38" s="1" t="n"/>
      <c r="B38" s="33" t="n"/>
      <c r="C38" s="33" t="n"/>
      <c r="D38" s="102" t="n"/>
      <c r="E38" s="33" t="n"/>
      <c r="F38" s="33" t="n"/>
      <c r="G38" s="33" t="n"/>
      <c r="H38" s="102" t="n"/>
      <c r="I38" s="102" t="n"/>
      <c r="J38" s="33" t="n"/>
      <c r="K38" s="33" t="n"/>
      <c r="L38" s="109" t="n"/>
      <c r="M38" s="42" t="n"/>
      <c r="N38" s="110">
        <f>IF(AND(L38&lt;&gt;"",F38&gt;0),L38/F38,"")</f>
        <v/>
      </c>
      <c r="O38" s="1" t="n"/>
      <c r="P38" s="1" t="n"/>
      <c r="Q38" s="1" t="n"/>
      <c r="R38" s="120">
        <f>IF(D38&lt;&gt;"",IF(MONTH(D38)=MONTH(TODAY()),"🎂 Este mês!",""),"")</f>
        <v/>
      </c>
      <c r="S38" s="1" t="n"/>
    </row>
    <row r="39" ht="18" customHeight="1">
      <c r="A39" s="1" t="n"/>
      <c r="B39" s="39" t="n"/>
      <c r="C39" s="39" t="n"/>
      <c r="D39" s="101" t="n"/>
      <c r="E39" s="39" t="n"/>
      <c r="F39" s="39" t="n"/>
      <c r="G39" s="39" t="n"/>
      <c r="H39" s="101" t="n"/>
      <c r="I39" s="101" t="n"/>
      <c r="J39" s="39" t="n"/>
      <c r="K39" s="39" t="n"/>
      <c r="L39" s="107" t="n"/>
      <c r="M39" s="40" t="n"/>
      <c r="N39" s="108">
        <f>IF(AND(L39&lt;&gt;"",F39&gt;0),L39/F39,"")</f>
        <v/>
      </c>
      <c r="O39" s="1" t="n"/>
      <c r="P39" s="1" t="n"/>
      <c r="Q39" s="1" t="n"/>
      <c r="R39" s="120">
        <f>IF(D39&lt;&gt;"",IF(MONTH(D39)=MONTH(TODAY()),"🎂 Este mês!",""),"")</f>
        <v/>
      </c>
      <c r="S39" s="1" t="n"/>
    </row>
    <row r="40" ht="18" customHeight="1">
      <c r="A40" s="1" t="n"/>
      <c r="B40" s="33" t="n"/>
      <c r="C40" s="33" t="n"/>
      <c r="D40" s="102" t="n"/>
      <c r="E40" s="33" t="n"/>
      <c r="F40" s="33" t="n"/>
      <c r="G40" s="33" t="n"/>
      <c r="H40" s="102" t="n"/>
      <c r="I40" s="102" t="n"/>
      <c r="J40" s="33" t="n"/>
      <c r="K40" s="33" t="n"/>
      <c r="L40" s="109" t="n"/>
      <c r="M40" s="42" t="n"/>
      <c r="N40" s="110">
        <f>IF(AND(L40&lt;&gt;"",F40&gt;0),L40/F40,"")</f>
        <v/>
      </c>
      <c r="O40" s="1" t="n"/>
      <c r="P40" s="1" t="n"/>
      <c r="Q40" s="1" t="n"/>
      <c r="R40" s="120">
        <f>IF(D40&lt;&gt;"",IF(MONTH(D40)=MONTH(TODAY()),"🎂 Este mês!",""),"")</f>
        <v/>
      </c>
      <c r="S40" s="1" t="n"/>
    </row>
    <row r="41" ht="18" customHeight="1">
      <c r="A41" s="1" t="n"/>
      <c r="B41" s="39" t="n"/>
      <c r="C41" s="39" t="n"/>
      <c r="D41" s="101" t="n"/>
      <c r="E41" s="39" t="n"/>
      <c r="F41" s="39" t="n"/>
      <c r="G41" s="39" t="n"/>
      <c r="H41" s="101" t="n"/>
      <c r="I41" s="101" t="n"/>
      <c r="J41" s="39" t="n"/>
      <c r="K41" s="39" t="n"/>
      <c r="L41" s="107" t="n"/>
      <c r="M41" s="40" t="n"/>
      <c r="N41" s="108">
        <f>IF(AND(L41&lt;&gt;"",F41&gt;0),L41/F41,"")</f>
        <v/>
      </c>
      <c r="O41" s="1" t="n"/>
      <c r="P41" s="1" t="n"/>
      <c r="Q41" s="1" t="n"/>
      <c r="R41" s="120">
        <f>IF(D41&lt;&gt;"",IF(MONTH(D41)=MONTH(TODAY()),"🎂 Este mês!",""),"")</f>
        <v/>
      </c>
      <c r="S41" s="1" t="n"/>
    </row>
    <row r="42" ht="18" customHeight="1">
      <c r="A42" s="1" t="n"/>
      <c r="B42" s="33" t="n"/>
      <c r="C42" s="33" t="n"/>
      <c r="D42" s="102" t="n"/>
      <c r="E42" s="33" t="n"/>
      <c r="F42" s="33" t="n"/>
      <c r="G42" s="33" t="n"/>
      <c r="H42" s="102" t="n"/>
      <c r="I42" s="102" t="n"/>
      <c r="J42" s="33" t="n"/>
      <c r="K42" s="33" t="n"/>
      <c r="L42" s="109" t="n"/>
      <c r="M42" s="42" t="n"/>
      <c r="N42" s="110">
        <f>IF(AND(L42&lt;&gt;"",F42&gt;0),L42/F42,"")</f>
        <v/>
      </c>
      <c r="O42" s="1" t="n"/>
      <c r="P42" s="1" t="n"/>
      <c r="Q42" s="1" t="n"/>
      <c r="R42" s="120">
        <f>IF(D42&lt;&gt;"",IF(MONTH(D42)=MONTH(TODAY()),"🎂 Este mês!",""),"")</f>
        <v/>
      </c>
      <c r="S42" s="1" t="n"/>
    </row>
    <row r="43" ht="18" customHeight="1">
      <c r="A43" s="1" t="n"/>
      <c r="B43" s="39" t="n"/>
      <c r="C43" s="39" t="n"/>
      <c r="D43" s="101" t="n"/>
      <c r="E43" s="39" t="n"/>
      <c r="F43" s="39" t="n"/>
      <c r="G43" s="39" t="n"/>
      <c r="H43" s="101" t="n"/>
      <c r="I43" s="101" t="n"/>
      <c r="J43" s="39" t="n"/>
      <c r="K43" s="39" t="n"/>
      <c r="L43" s="107" t="n"/>
      <c r="M43" s="40" t="n"/>
      <c r="N43" s="108">
        <f>IF(AND(L43&lt;&gt;"",F43&gt;0),L43/F43,"")</f>
        <v/>
      </c>
      <c r="O43" s="1" t="n"/>
      <c r="P43" s="1" t="n"/>
      <c r="Q43" s="1" t="n"/>
      <c r="R43" s="120">
        <f>IF(D43&lt;&gt;"",IF(MONTH(D43)=MONTH(TODAY()),"🎂 Este mês!",""),"")</f>
        <v/>
      </c>
      <c r="S43" s="1" t="n"/>
    </row>
    <row r="44" ht="18" customHeight="1">
      <c r="A44" s="1" t="n"/>
      <c r="B44" s="33" t="n"/>
      <c r="C44" s="33" t="n"/>
      <c r="D44" s="102" t="n"/>
      <c r="E44" s="33" t="n"/>
      <c r="F44" s="33" t="n"/>
      <c r="G44" s="33" t="n"/>
      <c r="H44" s="102" t="n"/>
      <c r="I44" s="102" t="n"/>
      <c r="J44" s="33" t="n"/>
      <c r="K44" s="33" t="n"/>
      <c r="L44" s="109" t="n"/>
      <c r="M44" s="42" t="n"/>
      <c r="N44" s="110">
        <f>IF(AND(L44&lt;&gt;"",F44&gt;0),L44/F44,"")</f>
        <v/>
      </c>
      <c r="O44" s="1" t="n"/>
      <c r="P44" s="1" t="n"/>
      <c r="Q44" s="1" t="n"/>
      <c r="R44" s="120">
        <f>IF(D44&lt;&gt;"",IF(MONTH(D44)=MONTH(TODAY()),"🎂 Este mês!",""),"")</f>
        <v/>
      </c>
      <c r="S44" s="1" t="n"/>
    </row>
    <row r="45" ht="18" customHeight="1">
      <c r="A45" s="1" t="n"/>
      <c r="B45" s="39" t="n"/>
      <c r="C45" s="39" t="n"/>
      <c r="D45" s="101" t="n"/>
      <c r="E45" s="39" t="n"/>
      <c r="F45" s="39" t="n"/>
      <c r="G45" s="39" t="n"/>
      <c r="H45" s="101" t="n"/>
      <c r="I45" s="101" t="n"/>
      <c r="J45" s="39" t="n"/>
      <c r="K45" s="39" t="n"/>
      <c r="L45" s="107" t="n"/>
      <c r="M45" s="40" t="n"/>
      <c r="N45" s="108">
        <f>IF(AND(L45&lt;&gt;"",F45&gt;0),L45/F45,"")</f>
        <v/>
      </c>
      <c r="O45" s="1" t="n"/>
      <c r="P45" s="1" t="n"/>
      <c r="Q45" s="1" t="n"/>
      <c r="R45" s="120">
        <f>IF(D45&lt;&gt;"",IF(MONTH(D45)=MONTH(TODAY()),"🎂 Este mês!",""),"")</f>
        <v/>
      </c>
      <c r="S45" s="1" t="n"/>
    </row>
    <row r="46" ht="18" customHeight="1">
      <c r="A46" s="1" t="n"/>
      <c r="B46" s="33" t="n"/>
      <c r="C46" s="33" t="n"/>
      <c r="D46" s="102" t="n"/>
      <c r="E46" s="33" t="n"/>
      <c r="F46" s="33" t="n"/>
      <c r="G46" s="33" t="n"/>
      <c r="H46" s="102" t="n"/>
      <c r="I46" s="102" t="n"/>
      <c r="J46" s="33" t="n"/>
      <c r="K46" s="33" t="n"/>
      <c r="L46" s="109" t="n"/>
      <c r="M46" s="42" t="n"/>
      <c r="N46" s="110">
        <f>IF(AND(L46&lt;&gt;"",F46&gt;0),L46/F46,"")</f>
        <v/>
      </c>
      <c r="O46" s="1" t="n"/>
      <c r="P46" s="1" t="n"/>
      <c r="Q46" s="1" t="n"/>
      <c r="R46" s="120">
        <f>IF(D46&lt;&gt;"",IF(MONTH(D46)=MONTH(TODAY()),"🎂 Este mês!",""),"")</f>
        <v/>
      </c>
      <c r="S46" s="1" t="n"/>
    </row>
    <row r="47" ht="18" customHeight="1">
      <c r="A47" s="1" t="n"/>
      <c r="B47" s="39" t="n"/>
      <c r="C47" s="39" t="n"/>
      <c r="D47" s="101" t="n"/>
      <c r="E47" s="39" t="n"/>
      <c r="F47" s="39" t="n"/>
      <c r="G47" s="39" t="n"/>
      <c r="H47" s="101" t="n"/>
      <c r="I47" s="101" t="n"/>
      <c r="J47" s="39" t="n"/>
      <c r="K47" s="39" t="n"/>
      <c r="L47" s="107" t="n"/>
      <c r="M47" s="40" t="n"/>
      <c r="N47" s="108">
        <f>IF(AND(L47&lt;&gt;"",F47&gt;0),L47/F47,"")</f>
        <v/>
      </c>
      <c r="O47" s="1" t="n"/>
      <c r="P47" s="1" t="n"/>
      <c r="Q47" s="1" t="n"/>
      <c r="R47" s="120">
        <f>IF(D47&lt;&gt;"",IF(MONTH(D47)=MONTH(TODAY()),"🎂 Este mês!",""),"")</f>
        <v/>
      </c>
      <c r="S47" s="1" t="n"/>
    </row>
    <row r="48" ht="18" customHeight="1">
      <c r="A48" s="1" t="n"/>
      <c r="B48" s="33" t="n"/>
      <c r="C48" s="33" t="n"/>
      <c r="D48" s="102" t="n"/>
      <c r="E48" s="33" t="n"/>
      <c r="F48" s="33" t="n"/>
      <c r="G48" s="33" t="n"/>
      <c r="H48" s="102" t="n"/>
      <c r="I48" s="102" t="n"/>
      <c r="J48" s="33" t="n"/>
      <c r="K48" s="33" t="n"/>
      <c r="L48" s="109" t="n"/>
      <c r="M48" s="42" t="n"/>
      <c r="N48" s="110">
        <f>IF(AND(L48&lt;&gt;"",F48&gt;0),L48/F48,"")</f>
        <v/>
      </c>
      <c r="O48" s="1" t="n"/>
      <c r="P48" s="1" t="n"/>
      <c r="Q48" s="1" t="n"/>
      <c r="R48" s="120">
        <f>IF(D48&lt;&gt;"",IF(MONTH(D48)=MONTH(TODAY()),"🎂 Este mês!",""),"")</f>
        <v/>
      </c>
      <c r="S48" s="1" t="n"/>
    </row>
    <row r="49" ht="18" customHeight="1">
      <c r="A49" s="1" t="n"/>
      <c r="B49" s="39" t="n"/>
      <c r="C49" s="39" t="n"/>
      <c r="D49" s="101" t="n"/>
      <c r="E49" s="39" t="n"/>
      <c r="F49" s="39" t="n"/>
      <c r="G49" s="39" t="n"/>
      <c r="H49" s="101" t="n"/>
      <c r="I49" s="101" t="n"/>
      <c r="J49" s="39" t="n"/>
      <c r="K49" s="39" t="n"/>
      <c r="L49" s="107" t="n"/>
      <c r="M49" s="40" t="n"/>
      <c r="N49" s="108">
        <f>IF(AND(L49&lt;&gt;"",F49&gt;0),L49/F49,"")</f>
        <v/>
      </c>
      <c r="O49" s="1" t="n"/>
      <c r="P49" s="1" t="n"/>
      <c r="Q49" s="1" t="n"/>
      <c r="R49" s="120">
        <f>IF(D49&lt;&gt;"",IF(MONTH(D49)=MONTH(TODAY()),"🎂 Este mês!",""),"")</f>
        <v/>
      </c>
      <c r="S49" s="1" t="n"/>
    </row>
    <row r="50" ht="18" customHeight="1">
      <c r="A50" s="1" t="n"/>
      <c r="B50" s="33" t="n"/>
      <c r="C50" s="33" t="n"/>
      <c r="D50" s="102" t="n"/>
      <c r="E50" s="33" t="n"/>
      <c r="F50" s="33" t="n"/>
      <c r="G50" s="33" t="n"/>
      <c r="H50" s="102" t="n"/>
      <c r="I50" s="102" t="n"/>
      <c r="J50" s="33" t="n"/>
      <c r="K50" s="33" t="n"/>
      <c r="L50" s="109" t="n"/>
      <c r="M50" s="42" t="n"/>
      <c r="N50" s="110">
        <f>IF(AND(L50&lt;&gt;"",F50&gt;0),L50/F50,"")</f>
        <v/>
      </c>
      <c r="O50" s="1" t="n"/>
      <c r="P50" s="1" t="n"/>
      <c r="Q50" s="1" t="n"/>
      <c r="R50" s="120">
        <f>IF(D50&lt;&gt;"",IF(MONTH(D50)=MONTH(TODAY()),"🎂 Este mês!",""),"")</f>
        <v/>
      </c>
      <c r="S50" s="1" t="n"/>
    </row>
    <row r="51" ht="18" customHeight="1">
      <c r="A51" s="1" t="n"/>
      <c r="B51" s="39" t="n"/>
      <c r="C51" s="39" t="n"/>
      <c r="D51" s="101" t="n"/>
      <c r="E51" s="39" t="n"/>
      <c r="F51" s="39" t="n"/>
      <c r="G51" s="39" t="n"/>
      <c r="H51" s="101" t="n"/>
      <c r="I51" s="101" t="n"/>
      <c r="J51" s="39" t="n"/>
      <c r="K51" s="39" t="n"/>
      <c r="L51" s="107" t="n"/>
      <c r="M51" s="40" t="n"/>
      <c r="N51" s="108">
        <f>IF(AND(L51&lt;&gt;"",F51&gt;0),L51/F51,"")</f>
        <v/>
      </c>
      <c r="O51" s="1" t="n"/>
      <c r="P51" s="1" t="n"/>
      <c r="Q51" s="1" t="n"/>
      <c r="R51" s="120">
        <f>IF(D51&lt;&gt;"",IF(MONTH(D51)=MONTH(TODAY()),"🎂 Este mês!",""),"")</f>
        <v/>
      </c>
      <c r="S51" s="1" t="n"/>
    </row>
    <row r="52" ht="18" customHeight="1">
      <c r="A52" s="1" t="n"/>
      <c r="B52" s="33" t="n"/>
      <c r="C52" s="33" t="n"/>
      <c r="D52" s="102" t="n"/>
      <c r="E52" s="33" t="n"/>
      <c r="F52" s="33" t="n"/>
      <c r="G52" s="33" t="n"/>
      <c r="H52" s="102" t="n"/>
      <c r="I52" s="102" t="n"/>
      <c r="J52" s="33" t="n"/>
      <c r="K52" s="33" t="n"/>
      <c r="L52" s="109" t="n"/>
      <c r="M52" s="42" t="n"/>
      <c r="N52" s="110">
        <f>IF(AND(L52&lt;&gt;"",F52&gt;0),L52/F52,"")</f>
        <v/>
      </c>
      <c r="O52" s="1" t="n"/>
      <c r="P52" s="1" t="n"/>
      <c r="Q52" s="1" t="n"/>
      <c r="R52" s="120">
        <f>IF(D52&lt;&gt;"",IF(MONTH(D52)=MONTH(TODAY()),"🎂 Este mês!",""),"")</f>
        <v/>
      </c>
      <c r="S52" s="1" t="n"/>
    </row>
    <row r="53" ht="18" customHeight="1">
      <c r="A53" s="1" t="n"/>
      <c r="B53" s="39" t="n"/>
      <c r="C53" s="39" t="n"/>
      <c r="D53" s="101" t="n"/>
      <c r="E53" s="39" t="n"/>
      <c r="F53" s="39" t="n"/>
      <c r="G53" s="39" t="n"/>
      <c r="H53" s="101" t="n"/>
      <c r="I53" s="101" t="n"/>
      <c r="J53" s="39" t="n"/>
      <c r="K53" s="39" t="n"/>
      <c r="L53" s="107" t="n"/>
      <c r="M53" s="40" t="n"/>
      <c r="N53" s="108">
        <f>IF(AND(L53&lt;&gt;"",F53&gt;0),L53/F53,"")</f>
        <v/>
      </c>
      <c r="O53" s="1" t="n"/>
      <c r="P53" s="1" t="n"/>
      <c r="Q53" s="1" t="n"/>
      <c r="R53" s="120">
        <f>IF(D53&lt;&gt;"",IF(MONTH(D53)=MONTH(TODAY()),"🎂 Este mês!",""),"")</f>
        <v/>
      </c>
      <c r="S53" s="1" t="n"/>
    </row>
    <row r="54" ht="18" customHeight="1">
      <c r="A54" s="1" t="n"/>
      <c r="B54" s="33" t="n"/>
      <c r="C54" s="33" t="n"/>
      <c r="D54" s="102" t="n"/>
      <c r="E54" s="33" t="n"/>
      <c r="F54" s="33" t="n"/>
      <c r="G54" s="33" t="n"/>
      <c r="H54" s="102" t="n"/>
      <c r="I54" s="102" t="n"/>
      <c r="J54" s="33" t="n"/>
      <c r="K54" s="33" t="n"/>
      <c r="L54" s="109" t="n"/>
      <c r="M54" s="42" t="n"/>
      <c r="N54" s="110">
        <f>IF(AND(L54&lt;&gt;"",F54&gt;0),L54/F54,"")</f>
        <v/>
      </c>
      <c r="O54" s="1" t="n"/>
      <c r="P54" s="1" t="n"/>
      <c r="Q54" s="1" t="n"/>
      <c r="R54" s="120">
        <f>IF(D54&lt;&gt;"",IF(MONTH(D54)=MONTH(TODAY()),"🎂 Este mês!",""),"")</f>
        <v/>
      </c>
      <c r="S54" s="1" t="n"/>
    </row>
    <row r="55" ht="18" customHeight="1">
      <c r="A55" s="1" t="n"/>
      <c r="B55" s="39" t="n"/>
      <c r="C55" s="39" t="n"/>
      <c r="D55" s="101" t="n"/>
      <c r="E55" s="39" t="n"/>
      <c r="F55" s="39" t="n"/>
      <c r="G55" s="39" t="n"/>
      <c r="H55" s="101" t="n"/>
      <c r="I55" s="101" t="n"/>
      <c r="J55" s="39" t="n"/>
      <c r="K55" s="39" t="n"/>
      <c r="L55" s="107" t="n"/>
      <c r="M55" s="40" t="n"/>
      <c r="N55" s="108">
        <f>IF(AND(L55&lt;&gt;"",F55&gt;0),L55/F55,"")</f>
        <v/>
      </c>
      <c r="O55" s="1" t="n"/>
      <c r="P55" s="1" t="n"/>
      <c r="Q55" s="1" t="n"/>
      <c r="R55" s="120">
        <f>IF(D55&lt;&gt;"",IF(MONTH(D55)=MONTH(TODAY()),"🎂 Este mês!",""),"")</f>
        <v/>
      </c>
      <c r="S55" s="1" t="n"/>
    </row>
    <row r="56" ht="18" customHeight="1">
      <c r="A56" s="1" t="n"/>
      <c r="B56" s="33" t="n"/>
      <c r="C56" s="33" t="n"/>
      <c r="D56" s="102" t="n"/>
      <c r="E56" s="33" t="n"/>
      <c r="F56" s="33" t="n"/>
      <c r="G56" s="33" t="n"/>
      <c r="H56" s="102" t="n"/>
      <c r="I56" s="102" t="n"/>
      <c r="J56" s="33" t="n"/>
      <c r="K56" s="33" t="n"/>
      <c r="L56" s="109" t="n"/>
      <c r="M56" s="42" t="n"/>
      <c r="N56" s="110">
        <f>IF(AND(L56&lt;&gt;"",F56&gt;0),L56/F56,"")</f>
        <v/>
      </c>
      <c r="O56" s="1" t="n"/>
      <c r="P56" s="1" t="n"/>
      <c r="Q56" s="1" t="n"/>
      <c r="R56" s="120">
        <f>IF(D56&lt;&gt;"",IF(MONTH(D56)=MONTH(TODAY()),"🎂 Este mês!",""),"")</f>
        <v/>
      </c>
      <c r="S56" s="1" t="n"/>
    </row>
    <row r="57" ht="18" customHeight="1">
      <c r="A57" s="1" t="n"/>
      <c r="B57" s="39" t="n"/>
      <c r="C57" s="39" t="n"/>
      <c r="D57" s="101" t="n"/>
      <c r="E57" s="39" t="n"/>
      <c r="F57" s="39" t="n"/>
      <c r="G57" s="39" t="n"/>
      <c r="H57" s="101" t="n"/>
      <c r="I57" s="101" t="n"/>
      <c r="J57" s="39" t="n"/>
      <c r="K57" s="39" t="n"/>
      <c r="L57" s="107" t="n"/>
      <c r="M57" s="40" t="n"/>
      <c r="N57" s="108">
        <f>IF(AND(L57&lt;&gt;"",F57&gt;0),L57/F57,"")</f>
        <v/>
      </c>
      <c r="O57" s="1" t="n"/>
      <c r="P57" s="1" t="n"/>
      <c r="Q57" s="1" t="n"/>
      <c r="R57" s="120">
        <f>IF(D57&lt;&gt;"",IF(MONTH(D57)=MONTH(TODAY()),"🎂 Este mês!",""),"")</f>
        <v/>
      </c>
      <c r="S57" s="1" t="n"/>
    </row>
    <row r="58" ht="18" customHeight="1">
      <c r="A58" s="1" t="n"/>
      <c r="B58" s="33" t="n"/>
      <c r="C58" s="33" t="n"/>
      <c r="D58" s="102" t="n"/>
      <c r="E58" s="33" t="n"/>
      <c r="F58" s="33" t="n"/>
      <c r="G58" s="33" t="n"/>
      <c r="H58" s="102" t="n"/>
      <c r="I58" s="102" t="n"/>
      <c r="J58" s="33" t="n"/>
      <c r="K58" s="33" t="n"/>
      <c r="L58" s="109" t="n"/>
      <c r="M58" s="42" t="n"/>
      <c r="N58" s="110">
        <f>IF(AND(L58&lt;&gt;"",F58&gt;0),L58/F58,"")</f>
        <v/>
      </c>
      <c r="O58" s="1" t="n"/>
      <c r="P58" s="1" t="n"/>
      <c r="Q58" s="1" t="n"/>
      <c r="R58" s="120">
        <f>IF(D58&lt;&gt;"",IF(MONTH(D58)=MONTH(TODAY()),"🎂 Este mês!",""),"")</f>
        <v/>
      </c>
      <c r="S58" s="1" t="n"/>
    </row>
    <row r="59" ht="18" customHeight="1">
      <c r="A59" s="1" t="n"/>
      <c r="B59" s="39" t="n"/>
      <c r="C59" s="39" t="n"/>
      <c r="D59" s="101" t="n"/>
      <c r="E59" s="39" t="n"/>
      <c r="F59" s="39" t="n"/>
      <c r="G59" s="39" t="n"/>
      <c r="H59" s="101" t="n"/>
      <c r="I59" s="101" t="n"/>
      <c r="J59" s="39" t="n"/>
      <c r="K59" s="39" t="n"/>
      <c r="L59" s="107" t="n"/>
      <c r="M59" s="40" t="n"/>
      <c r="N59" s="108">
        <f>IF(AND(L59&lt;&gt;"",F59&gt;0),L59/F59,"")</f>
        <v/>
      </c>
      <c r="O59" s="1" t="n"/>
      <c r="P59" s="1" t="n"/>
      <c r="Q59" s="1" t="n"/>
      <c r="R59" s="120">
        <f>IF(D59&lt;&gt;"",IF(MONTH(D59)=MONTH(TODAY()),"🎂 Este mês!",""),"")</f>
        <v/>
      </c>
      <c r="S59" s="1" t="n"/>
    </row>
    <row r="60" ht="18" customHeight="1">
      <c r="A60" s="1" t="n"/>
      <c r="B60" s="33" t="n"/>
      <c r="C60" s="33" t="n"/>
      <c r="D60" s="102" t="n"/>
      <c r="E60" s="33" t="n"/>
      <c r="F60" s="33" t="n"/>
      <c r="G60" s="33" t="n"/>
      <c r="H60" s="102" t="n"/>
      <c r="I60" s="102" t="n"/>
      <c r="J60" s="33" t="n"/>
      <c r="K60" s="33" t="n"/>
      <c r="L60" s="109" t="n"/>
      <c r="M60" s="42" t="n"/>
      <c r="N60" s="110">
        <f>IF(AND(L60&lt;&gt;"",F60&gt;0),L60/F60,"")</f>
        <v/>
      </c>
      <c r="O60" s="1" t="n"/>
      <c r="P60" s="1" t="n"/>
      <c r="Q60" s="1" t="n"/>
      <c r="R60" s="120">
        <f>IF(D60&lt;&gt;"",IF(MONTH(D60)=MONTH(TODAY()),"🎂 Este mês!",""),"")</f>
        <v/>
      </c>
      <c r="S60" s="1" t="n"/>
    </row>
    <row r="61" ht="18" customHeight="1">
      <c r="A61" s="1" t="n"/>
      <c r="B61" s="39" t="n"/>
      <c r="C61" s="39" t="n"/>
      <c r="D61" s="101" t="n"/>
      <c r="E61" s="39" t="n"/>
      <c r="F61" s="39" t="n"/>
      <c r="G61" s="39" t="n"/>
      <c r="H61" s="101" t="n"/>
      <c r="I61" s="101" t="n"/>
      <c r="J61" s="39" t="n"/>
      <c r="K61" s="39" t="n"/>
      <c r="L61" s="107" t="n"/>
      <c r="M61" s="40" t="n"/>
      <c r="N61" s="108">
        <f>IF(AND(L61&lt;&gt;"",F61&gt;0),L61/F61,"")</f>
        <v/>
      </c>
      <c r="O61" s="1" t="n"/>
      <c r="P61" s="1" t="n"/>
      <c r="Q61" s="1" t="n"/>
      <c r="R61" s="120">
        <f>IF(D61&lt;&gt;"",IF(MONTH(D61)=MONTH(TODAY()),"🎂 Este mês!",""),"")</f>
        <v/>
      </c>
      <c r="S61" s="1" t="n"/>
    </row>
    <row r="62" ht="18" customHeight="1">
      <c r="A62" s="1" t="n"/>
      <c r="B62" s="33" t="n"/>
      <c r="C62" s="33" t="n"/>
      <c r="D62" s="102" t="n"/>
      <c r="E62" s="33" t="n"/>
      <c r="F62" s="33" t="n"/>
      <c r="G62" s="33" t="n"/>
      <c r="H62" s="102" t="n"/>
      <c r="I62" s="102" t="n"/>
      <c r="J62" s="33" t="n"/>
      <c r="K62" s="33" t="n"/>
      <c r="L62" s="109" t="n"/>
      <c r="M62" s="42" t="n"/>
      <c r="N62" s="110">
        <f>IF(AND(L62&lt;&gt;"",F62&gt;0),L62/F62,"")</f>
        <v/>
      </c>
      <c r="O62" s="1" t="n"/>
      <c r="P62" s="1" t="n"/>
      <c r="Q62" s="1" t="n"/>
      <c r="R62" s="120">
        <f>IF(D62&lt;&gt;"",IF(MONTH(D62)=MONTH(TODAY()),"🎂 Este mês!",""),"")</f>
        <v/>
      </c>
      <c r="S62" s="1" t="n"/>
    </row>
    <row r="63" ht="18" customHeight="1">
      <c r="A63" s="1" t="n"/>
      <c r="B63" s="39" t="n"/>
      <c r="C63" s="39" t="n"/>
      <c r="D63" s="101" t="n"/>
      <c r="E63" s="39" t="n"/>
      <c r="F63" s="39" t="n"/>
      <c r="G63" s="39" t="n"/>
      <c r="H63" s="101" t="n"/>
      <c r="I63" s="101" t="n"/>
      <c r="J63" s="39" t="n"/>
      <c r="K63" s="39" t="n"/>
      <c r="L63" s="107" t="n"/>
      <c r="M63" s="40" t="n"/>
      <c r="N63" s="108">
        <f>IF(AND(L63&lt;&gt;"",F63&gt;0),L63/F63,"")</f>
        <v/>
      </c>
      <c r="O63" s="1" t="n"/>
      <c r="P63" s="1" t="n"/>
      <c r="Q63" s="1" t="n"/>
      <c r="R63" s="120">
        <f>IF(D63&lt;&gt;"",IF(MONTH(D63)=MONTH(TODAY()),"🎂 Este mês!",""),"")</f>
        <v/>
      </c>
      <c r="S63" s="1" t="n"/>
    </row>
    <row r="64" ht="18" customHeight="1">
      <c r="A64" s="1" t="n"/>
      <c r="B64" s="33" t="n"/>
      <c r="C64" s="33" t="n"/>
      <c r="D64" s="102" t="n"/>
      <c r="E64" s="33" t="n"/>
      <c r="F64" s="33" t="n"/>
      <c r="G64" s="33" t="n"/>
      <c r="H64" s="102" t="n"/>
      <c r="I64" s="102" t="n"/>
      <c r="J64" s="33" t="n"/>
      <c r="K64" s="33" t="n"/>
      <c r="L64" s="109" t="n"/>
      <c r="M64" s="42" t="n"/>
      <c r="N64" s="110">
        <f>IF(AND(L64&lt;&gt;"",F64&gt;0),L64/F64,"")</f>
        <v/>
      </c>
      <c r="O64" s="1" t="n"/>
      <c r="P64" s="1" t="n"/>
      <c r="Q64" s="1" t="n"/>
      <c r="R64" s="120">
        <f>IF(D64&lt;&gt;"",IF(MONTH(D64)=MONTH(TODAY()),"🎂 Este mês!",""),"")</f>
        <v/>
      </c>
      <c r="S64" s="1" t="n"/>
    </row>
    <row r="65" ht="18" customHeight="1">
      <c r="A65" s="1" t="n"/>
      <c r="B65" s="39" t="n"/>
      <c r="C65" s="39" t="n"/>
      <c r="D65" s="101" t="n"/>
      <c r="E65" s="39" t="n"/>
      <c r="F65" s="39" t="n"/>
      <c r="G65" s="39" t="n"/>
      <c r="H65" s="101" t="n"/>
      <c r="I65" s="101" t="n"/>
      <c r="J65" s="39" t="n"/>
      <c r="K65" s="39" t="n"/>
      <c r="L65" s="107" t="n"/>
      <c r="M65" s="40" t="n"/>
      <c r="N65" s="108">
        <f>IF(AND(L65&lt;&gt;"",F65&gt;0),L65/F65,"")</f>
        <v/>
      </c>
      <c r="O65" s="1" t="n"/>
      <c r="P65" s="1" t="n"/>
      <c r="Q65" s="1" t="n"/>
      <c r="R65" s="120">
        <f>IF(D65&lt;&gt;"",IF(MONTH(D65)=MONTH(TODAY()),"🎂 Este mês!",""),"")</f>
        <v/>
      </c>
      <c r="S65" s="1" t="n"/>
    </row>
    <row r="66" ht="18" customHeight="1">
      <c r="A66" s="1" t="n"/>
      <c r="B66" s="33" t="n"/>
      <c r="C66" s="33" t="n"/>
      <c r="D66" s="102" t="n"/>
      <c r="E66" s="33" t="n"/>
      <c r="F66" s="33" t="n"/>
      <c r="G66" s="33" t="n"/>
      <c r="H66" s="102" t="n"/>
      <c r="I66" s="102" t="n"/>
      <c r="J66" s="33" t="n"/>
      <c r="K66" s="33" t="n"/>
      <c r="L66" s="109" t="n"/>
      <c r="M66" s="42" t="n"/>
      <c r="N66" s="110">
        <f>IF(AND(L66&lt;&gt;"",F66&gt;0),L66/F66,"")</f>
        <v/>
      </c>
      <c r="O66" s="1" t="n"/>
      <c r="P66" s="1" t="n"/>
      <c r="Q66" s="1" t="n"/>
      <c r="R66" s="120">
        <f>IF(D66&lt;&gt;"",IF(MONTH(D66)=MONTH(TODAY()),"🎂 Este mês!",""),"")</f>
        <v/>
      </c>
      <c r="S66" s="1" t="n"/>
    </row>
    <row r="67" ht="18" customHeight="1">
      <c r="A67" s="1" t="n"/>
      <c r="B67" s="39" t="n"/>
      <c r="C67" s="39" t="n"/>
      <c r="D67" s="101" t="n"/>
      <c r="E67" s="39" t="n"/>
      <c r="F67" s="39" t="n"/>
      <c r="G67" s="39" t="n"/>
      <c r="H67" s="101" t="n"/>
      <c r="I67" s="101" t="n"/>
      <c r="J67" s="39" t="n"/>
      <c r="K67" s="39" t="n"/>
      <c r="L67" s="107" t="n"/>
      <c r="M67" s="40" t="n"/>
      <c r="N67" s="108">
        <f>IF(AND(L67&lt;&gt;"",F67&gt;0),L67/F67,"")</f>
        <v/>
      </c>
      <c r="O67" s="1" t="n"/>
      <c r="P67" s="1" t="n"/>
      <c r="Q67" s="1" t="n"/>
      <c r="R67" s="120">
        <f>IF(D67&lt;&gt;"",IF(MONTH(D67)=MONTH(TODAY()),"🎂 Este mês!",""),"")</f>
        <v/>
      </c>
      <c r="S67" s="1" t="n"/>
    </row>
    <row r="68" ht="18" customHeight="1">
      <c r="A68" s="1" t="n"/>
      <c r="B68" s="33" t="n"/>
      <c r="C68" s="33" t="n"/>
      <c r="D68" s="102" t="n"/>
      <c r="E68" s="33" t="n"/>
      <c r="F68" s="33" t="n"/>
      <c r="G68" s="33" t="n"/>
      <c r="H68" s="102" t="n"/>
      <c r="I68" s="102" t="n"/>
      <c r="J68" s="33" t="n"/>
      <c r="K68" s="33" t="n"/>
      <c r="L68" s="109" t="n"/>
      <c r="M68" s="42" t="n"/>
      <c r="N68" s="110">
        <f>IF(AND(L68&lt;&gt;"",F68&gt;0),L68/F68,"")</f>
        <v/>
      </c>
      <c r="O68" s="1" t="n"/>
      <c r="P68" s="1" t="n"/>
      <c r="Q68" s="1" t="n"/>
      <c r="R68" s="120">
        <f>IF(D68&lt;&gt;"",IF(MONTH(D68)=MONTH(TODAY()),"🎂 Este mês!",""),"")</f>
        <v/>
      </c>
      <c r="S68" s="1" t="n"/>
    </row>
    <row r="69" ht="18" customHeight="1">
      <c r="A69" s="1" t="n"/>
      <c r="B69" s="39" t="n"/>
      <c r="C69" s="39" t="n"/>
      <c r="D69" s="101" t="n"/>
      <c r="E69" s="39" t="n"/>
      <c r="F69" s="39" t="n"/>
      <c r="G69" s="39" t="n"/>
      <c r="H69" s="101" t="n"/>
      <c r="I69" s="101" t="n"/>
      <c r="J69" s="39" t="n"/>
      <c r="K69" s="39" t="n"/>
      <c r="L69" s="107" t="n"/>
      <c r="M69" s="40" t="n"/>
      <c r="N69" s="108">
        <f>IF(AND(L69&lt;&gt;"",F69&gt;0),L69/F69,"")</f>
        <v/>
      </c>
      <c r="O69" s="1" t="n"/>
      <c r="P69" s="1" t="n"/>
      <c r="Q69" s="1" t="n"/>
      <c r="R69" s="120">
        <f>IF(D69&lt;&gt;"",IF(MONTH(D69)=MONTH(TODAY()),"🎂 Este mês!",""),"")</f>
        <v/>
      </c>
      <c r="S69" s="1" t="n"/>
    </row>
    <row r="70" ht="18" customHeight="1">
      <c r="A70" s="1" t="n"/>
      <c r="B70" s="33" t="n"/>
      <c r="C70" s="33" t="n"/>
      <c r="D70" s="102" t="n"/>
      <c r="E70" s="33" t="n"/>
      <c r="F70" s="33" t="n"/>
      <c r="G70" s="33" t="n"/>
      <c r="H70" s="102" t="n"/>
      <c r="I70" s="102" t="n"/>
      <c r="J70" s="33" t="n"/>
      <c r="K70" s="33" t="n"/>
      <c r="L70" s="109" t="n"/>
      <c r="M70" s="42" t="n"/>
      <c r="N70" s="110">
        <f>IF(AND(L70&lt;&gt;"",F70&gt;0),L70/F70,"")</f>
        <v/>
      </c>
      <c r="O70" s="1" t="n"/>
      <c r="P70" s="1" t="n"/>
      <c r="Q70" s="1" t="n"/>
      <c r="R70" s="120">
        <f>IF(D70&lt;&gt;"",IF(MONTH(D70)=MONTH(TODAY()),"🎂 Este mês!",""),"")</f>
        <v/>
      </c>
      <c r="S70" s="1" t="n"/>
    </row>
    <row r="71" ht="18" customHeight="1">
      <c r="A71" s="1" t="n"/>
      <c r="B71" s="39" t="n"/>
      <c r="C71" s="39" t="n"/>
      <c r="D71" s="101" t="n"/>
      <c r="E71" s="39" t="n"/>
      <c r="F71" s="39" t="n"/>
      <c r="G71" s="39" t="n"/>
      <c r="H71" s="101" t="n"/>
      <c r="I71" s="101" t="n"/>
      <c r="J71" s="39" t="n"/>
      <c r="K71" s="39" t="n"/>
      <c r="L71" s="107" t="n"/>
      <c r="M71" s="40" t="n"/>
      <c r="N71" s="108">
        <f>IF(AND(L71&lt;&gt;"",F71&gt;0),L71/F71,"")</f>
        <v/>
      </c>
      <c r="O71" s="1" t="n"/>
      <c r="P71" s="1" t="n"/>
      <c r="Q71" s="1" t="n"/>
      <c r="R71" s="120">
        <f>IF(D71&lt;&gt;"",IF(MONTH(D71)=MONTH(TODAY()),"🎂 Este mês!",""),"")</f>
        <v/>
      </c>
      <c r="S71" s="1" t="n"/>
    </row>
    <row r="72" ht="18" customHeight="1">
      <c r="A72" s="1" t="n"/>
      <c r="B72" s="33" t="n"/>
      <c r="C72" s="33" t="n"/>
      <c r="D72" s="102" t="n"/>
      <c r="E72" s="33" t="n"/>
      <c r="F72" s="33" t="n"/>
      <c r="G72" s="33" t="n"/>
      <c r="H72" s="102" t="n"/>
      <c r="I72" s="102" t="n"/>
      <c r="J72" s="33" t="n"/>
      <c r="K72" s="33" t="n"/>
      <c r="L72" s="109" t="n"/>
      <c r="M72" s="42" t="n"/>
      <c r="N72" s="110">
        <f>IF(AND(L72&lt;&gt;"",F72&gt;0),L72/F72,"")</f>
        <v/>
      </c>
      <c r="O72" s="1" t="n"/>
      <c r="P72" s="1" t="n"/>
      <c r="Q72" s="1" t="n"/>
      <c r="R72" s="120">
        <f>IF(D72&lt;&gt;"",IF(MONTH(D72)=MONTH(TODAY()),"🎂 Este mês!",""),"")</f>
        <v/>
      </c>
      <c r="S72" s="1" t="n"/>
    </row>
    <row r="73" ht="18" customHeight="1">
      <c r="A73" s="1" t="n"/>
      <c r="B73" s="39" t="n"/>
      <c r="C73" s="39" t="n"/>
      <c r="D73" s="101" t="n"/>
      <c r="E73" s="39" t="n"/>
      <c r="F73" s="39" t="n"/>
      <c r="G73" s="39" t="n"/>
      <c r="H73" s="101" t="n"/>
      <c r="I73" s="101" t="n"/>
      <c r="J73" s="39" t="n"/>
      <c r="K73" s="39" t="n"/>
      <c r="L73" s="107" t="n"/>
      <c r="M73" s="40" t="n"/>
      <c r="N73" s="108">
        <f>IF(AND(L73&lt;&gt;"",F73&gt;0),L73/F73,"")</f>
        <v/>
      </c>
      <c r="O73" s="1" t="n"/>
      <c r="P73" s="1" t="n"/>
      <c r="Q73" s="1" t="n"/>
      <c r="R73" s="120">
        <f>IF(D73&lt;&gt;"",IF(MONTH(D73)=MONTH(TODAY()),"🎂 Este mês!",""),"")</f>
        <v/>
      </c>
      <c r="S73" s="1" t="n"/>
    </row>
    <row r="74" ht="18" customHeight="1">
      <c r="A74" s="1" t="n"/>
      <c r="B74" s="33" t="n"/>
      <c r="C74" s="33" t="n"/>
      <c r="D74" s="102" t="n"/>
      <c r="E74" s="33" t="n"/>
      <c r="F74" s="33" t="n"/>
      <c r="G74" s="33" t="n"/>
      <c r="H74" s="102" t="n"/>
      <c r="I74" s="102" t="n"/>
      <c r="J74" s="33" t="n"/>
      <c r="K74" s="33" t="n"/>
      <c r="L74" s="109" t="n"/>
      <c r="M74" s="42" t="n"/>
      <c r="N74" s="110">
        <f>IF(AND(L74&lt;&gt;"",F74&gt;0),L74/F74,"")</f>
        <v/>
      </c>
      <c r="O74" s="1" t="n"/>
      <c r="P74" s="1" t="n"/>
      <c r="Q74" s="1" t="n"/>
      <c r="R74" s="120">
        <f>IF(D74&lt;&gt;"",IF(MONTH(D74)=MONTH(TODAY()),"🎂 Este mês!",""),"")</f>
        <v/>
      </c>
      <c r="S74" s="1" t="n"/>
    </row>
    <row r="75" ht="18" customHeight="1">
      <c r="A75" s="1" t="n"/>
      <c r="B75" s="39" t="n"/>
      <c r="C75" s="39" t="n"/>
      <c r="D75" s="101" t="n"/>
      <c r="E75" s="39" t="n"/>
      <c r="F75" s="39" t="n"/>
      <c r="G75" s="39" t="n"/>
      <c r="H75" s="101" t="n"/>
      <c r="I75" s="101" t="n"/>
      <c r="J75" s="39" t="n"/>
      <c r="K75" s="39" t="n"/>
      <c r="L75" s="107" t="n"/>
      <c r="M75" s="40" t="n"/>
      <c r="N75" s="108">
        <f>IF(AND(L75&lt;&gt;"",F75&gt;0),L75/F75,"")</f>
        <v/>
      </c>
      <c r="O75" s="1" t="n"/>
      <c r="P75" s="1" t="n"/>
      <c r="Q75" s="1" t="n"/>
      <c r="R75" s="120">
        <f>IF(D75&lt;&gt;"",IF(MONTH(D75)=MONTH(TODAY()),"🎂 Este mês!",""),"")</f>
        <v/>
      </c>
      <c r="S75" s="1" t="n"/>
    </row>
    <row r="76" ht="18" customHeight="1">
      <c r="A76" s="1" t="n"/>
      <c r="B76" s="33" t="n"/>
      <c r="C76" s="33" t="n"/>
      <c r="D76" s="102" t="n"/>
      <c r="E76" s="33" t="n"/>
      <c r="F76" s="33" t="n"/>
      <c r="G76" s="33" t="n"/>
      <c r="H76" s="102" t="n"/>
      <c r="I76" s="102" t="n"/>
      <c r="J76" s="33" t="n"/>
      <c r="K76" s="33" t="n"/>
      <c r="L76" s="109" t="n"/>
      <c r="M76" s="42" t="n"/>
      <c r="N76" s="110">
        <f>IF(AND(L76&lt;&gt;"",F76&gt;0),L76/F76,"")</f>
        <v/>
      </c>
      <c r="O76" s="1" t="n"/>
      <c r="P76" s="1" t="n"/>
      <c r="Q76" s="1" t="n"/>
      <c r="R76" s="120">
        <f>IF(D76&lt;&gt;"",IF(MONTH(D76)=MONTH(TODAY()),"🎂 Este mês!",""),"")</f>
        <v/>
      </c>
      <c r="S76" s="1" t="n"/>
    </row>
    <row r="77" ht="18" customHeight="1">
      <c r="A77" s="1" t="n"/>
      <c r="B77" s="39" t="n"/>
      <c r="C77" s="39" t="n"/>
      <c r="D77" s="101" t="n"/>
      <c r="E77" s="39" t="n"/>
      <c r="F77" s="39" t="n"/>
      <c r="G77" s="39" t="n"/>
      <c r="H77" s="101" t="n"/>
      <c r="I77" s="101" t="n"/>
      <c r="J77" s="39" t="n"/>
      <c r="K77" s="39" t="n"/>
      <c r="L77" s="107" t="n"/>
      <c r="M77" s="40" t="n"/>
      <c r="N77" s="108">
        <f>IF(AND(L77&lt;&gt;"",F77&gt;0),L77/F77,"")</f>
        <v/>
      </c>
      <c r="O77" s="1" t="n"/>
      <c r="P77" s="1" t="n"/>
      <c r="Q77" s="1" t="n"/>
      <c r="R77" s="120">
        <f>IF(D77&lt;&gt;"",IF(MONTH(D77)=MONTH(TODAY()),"🎂 Este mês!",""),"")</f>
        <v/>
      </c>
      <c r="S77" s="1" t="n"/>
    </row>
    <row r="78" ht="18" customHeight="1">
      <c r="A78" s="1" t="n"/>
      <c r="B78" s="33" t="n"/>
      <c r="C78" s="33" t="n"/>
      <c r="D78" s="102" t="n"/>
      <c r="E78" s="33" t="n"/>
      <c r="F78" s="33" t="n"/>
      <c r="G78" s="33" t="n"/>
      <c r="H78" s="102" t="n"/>
      <c r="I78" s="102" t="n"/>
      <c r="J78" s="33" t="n"/>
      <c r="K78" s="33" t="n"/>
      <c r="L78" s="109" t="n"/>
      <c r="M78" s="42" t="n"/>
      <c r="N78" s="110">
        <f>IF(AND(L78&lt;&gt;"",F78&gt;0),L78/F78,"")</f>
        <v/>
      </c>
      <c r="O78" s="1" t="n"/>
      <c r="P78" s="1" t="n"/>
      <c r="Q78" s="1" t="n"/>
      <c r="R78" s="120">
        <f>IF(D78&lt;&gt;"",IF(MONTH(D78)=MONTH(TODAY()),"🎂 Este mês!",""),"")</f>
        <v/>
      </c>
      <c r="S78" s="1" t="n"/>
    </row>
    <row r="79" ht="18" customHeight="1">
      <c r="A79" s="1" t="n"/>
      <c r="B79" s="39" t="n"/>
      <c r="C79" s="39" t="n"/>
      <c r="D79" s="101" t="n"/>
      <c r="E79" s="39" t="n"/>
      <c r="F79" s="39" t="n"/>
      <c r="G79" s="39" t="n"/>
      <c r="H79" s="101" t="n"/>
      <c r="I79" s="101" t="n"/>
      <c r="J79" s="39" t="n"/>
      <c r="K79" s="39" t="n"/>
      <c r="L79" s="107" t="n"/>
      <c r="M79" s="40" t="n"/>
      <c r="N79" s="108">
        <f>IF(AND(L79&lt;&gt;"",F79&gt;0),L79/F79,"")</f>
        <v/>
      </c>
      <c r="O79" s="1" t="n"/>
      <c r="P79" s="1" t="n"/>
      <c r="Q79" s="1" t="n"/>
      <c r="R79" s="120">
        <f>IF(D79&lt;&gt;"",IF(MONTH(D79)=MONTH(TODAY()),"🎂 Este mês!",""),"")</f>
        <v/>
      </c>
      <c r="S79" s="1" t="n"/>
    </row>
    <row r="80" ht="18" customHeight="1">
      <c r="A80" s="1" t="n"/>
      <c r="B80" s="33" t="n"/>
      <c r="C80" s="33" t="n"/>
      <c r="D80" s="102" t="n"/>
      <c r="E80" s="33" t="n"/>
      <c r="F80" s="33" t="n"/>
      <c r="G80" s="33" t="n"/>
      <c r="H80" s="102" t="n"/>
      <c r="I80" s="102" t="n"/>
      <c r="J80" s="33" t="n"/>
      <c r="K80" s="33" t="n"/>
      <c r="L80" s="109" t="n"/>
      <c r="M80" s="42" t="n"/>
      <c r="N80" s="110">
        <f>IF(AND(L80&lt;&gt;"",F80&gt;0),L80/F80,"")</f>
        <v/>
      </c>
      <c r="O80" s="1" t="n"/>
      <c r="P80" s="1" t="n"/>
      <c r="Q80" s="1" t="n"/>
      <c r="R80" s="120">
        <f>IF(D80&lt;&gt;"",IF(MONTH(D80)=MONTH(TODAY()),"🎂 Este mês!",""),"")</f>
        <v/>
      </c>
      <c r="S80" s="1" t="n"/>
    </row>
    <row r="81" ht="18" customHeight="1">
      <c r="A81" s="1" t="n"/>
      <c r="B81" s="39" t="n"/>
      <c r="C81" s="39" t="n"/>
      <c r="D81" s="101" t="n"/>
      <c r="E81" s="39" t="n"/>
      <c r="F81" s="39" t="n"/>
      <c r="G81" s="39" t="n"/>
      <c r="H81" s="101" t="n"/>
      <c r="I81" s="101" t="n"/>
      <c r="J81" s="39" t="n"/>
      <c r="K81" s="39" t="n"/>
      <c r="L81" s="107" t="n"/>
      <c r="M81" s="40" t="n"/>
      <c r="N81" s="108">
        <f>IF(AND(L81&lt;&gt;"",F81&gt;0),L81/F81,"")</f>
        <v/>
      </c>
      <c r="O81" s="1" t="n"/>
      <c r="P81" s="1" t="n"/>
      <c r="Q81" s="1" t="n"/>
      <c r="R81" s="120">
        <f>IF(D81&lt;&gt;"",IF(MONTH(D81)=MONTH(TODAY()),"🎂 Este mês!",""),"")</f>
        <v/>
      </c>
      <c r="S81" s="1" t="n"/>
    </row>
    <row r="82" ht="18" customHeight="1">
      <c r="A82" s="1" t="n"/>
      <c r="B82" s="33" t="n"/>
      <c r="C82" s="33" t="n"/>
      <c r="D82" s="102" t="n"/>
      <c r="E82" s="33" t="n"/>
      <c r="F82" s="33" t="n"/>
      <c r="G82" s="33" t="n"/>
      <c r="H82" s="102" t="n"/>
      <c r="I82" s="102" t="n"/>
      <c r="J82" s="33" t="n"/>
      <c r="K82" s="33" t="n"/>
      <c r="L82" s="109" t="n"/>
      <c r="M82" s="42" t="n"/>
      <c r="N82" s="110">
        <f>IF(AND(L82&lt;&gt;"",F82&gt;0),L82/F82,"")</f>
        <v/>
      </c>
      <c r="O82" s="1" t="n"/>
      <c r="P82" s="1" t="n"/>
      <c r="Q82" s="1" t="n"/>
      <c r="R82" s="120">
        <f>IF(D82&lt;&gt;"",IF(MONTH(D82)=MONTH(TODAY()),"🎂 Este mês!",""),"")</f>
        <v/>
      </c>
      <c r="S82" s="1" t="n"/>
    </row>
    <row r="83" ht="18" customHeight="1">
      <c r="A83" s="1" t="n"/>
      <c r="B83" s="39" t="n"/>
      <c r="C83" s="39" t="n"/>
      <c r="D83" s="101" t="n"/>
      <c r="E83" s="39" t="n"/>
      <c r="F83" s="39" t="n"/>
      <c r="G83" s="39" t="n"/>
      <c r="H83" s="101" t="n"/>
      <c r="I83" s="101" t="n"/>
      <c r="J83" s="39" t="n"/>
      <c r="K83" s="39" t="n"/>
      <c r="L83" s="107" t="n"/>
      <c r="M83" s="40" t="n"/>
      <c r="N83" s="108">
        <f>IF(AND(L83&lt;&gt;"",F83&gt;0),L83/F83,"")</f>
        <v/>
      </c>
      <c r="O83" s="1" t="n"/>
      <c r="P83" s="1" t="n"/>
      <c r="Q83" s="1" t="n"/>
      <c r="R83" s="120">
        <f>IF(D83&lt;&gt;"",IF(MONTH(D83)=MONTH(TODAY()),"🎂 Este mês!",""),"")</f>
        <v/>
      </c>
      <c r="S83" s="1" t="n"/>
    </row>
    <row r="84" ht="18" customHeight="1">
      <c r="A84" s="1" t="n"/>
      <c r="B84" s="33" t="n"/>
      <c r="C84" s="33" t="n"/>
      <c r="D84" s="102" t="n"/>
      <c r="E84" s="33" t="n"/>
      <c r="F84" s="33" t="n"/>
      <c r="G84" s="33" t="n"/>
      <c r="H84" s="102" t="n"/>
      <c r="I84" s="102" t="n"/>
      <c r="J84" s="33" t="n"/>
      <c r="K84" s="33" t="n"/>
      <c r="L84" s="109" t="n"/>
      <c r="M84" s="42" t="n"/>
      <c r="N84" s="110">
        <f>IF(AND(L84&lt;&gt;"",F84&gt;0),L84/F84,"")</f>
        <v/>
      </c>
      <c r="O84" s="1" t="n"/>
      <c r="P84" s="1" t="n"/>
      <c r="Q84" s="1" t="n"/>
      <c r="R84" s="120">
        <f>IF(D84&lt;&gt;"",IF(MONTH(D84)=MONTH(TODAY()),"🎂 Este mês!",""),"")</f>
        <v/>
      </c>
      <c r="S84" s="1" t="n"/>
    </row>
    <row r="85" ht="18" customHeight="1">
      <c r="A85" s="1" t="n"/>
      <c r="B85" s="39" t="n"/>
      <c r="C85" s="39" t="n"/>
      <c r="D85" s="101" t="n"/>
      <c r="E85" s="39" t="n"/>
      <c r="F85" s="39" t="n"/>
      <c r="G85" s="39" t="n"/>
      <c r="H85" s="101" t="n"/>
      <c r="I85" s="101" t="n"/>
      <c r="J85" s="39" t="n"/>
      <c r="K85" s="39" t="n"/>
      <c r="L85" s="107" t="n"/>
      <c r="M85" s="40" t="n"/>
      <c r="N85" s="108">
        <f>IF(AND(L85&lt;&gt;"",F85&gt;0),L85/F85,"")</f>
        <v/>
      </c>
      <c r="O85" s="1" t="n"/>
      <c r="P85" s="1" t="n"/>
      <c r="Q85" s="1" t="n"/>
      <c r="R85" s="120">
        <f>IF(D85&lt;&gt;"",IF(MONTH(D85)=MONTH(TODAY()),"🎂 Este mês!",""),"")</f>
        <v/>
      </c>
      <c r="S85" s="1" t="n"/>
    </row>
    <row r="86" ht="18" customHeight="1">
      <c r="A86" s="1" t="n"/>
      <c r="B86" s="33" t="n"/>
      <c r="C86" s="33" t="n"/>
      <c r="D86" s="102" t="n"/>
      <c r="E86" s="33" t="n"/>
      <c r="F86" s="33" t="n"/>
      <c r="G86" s="33" t="n"/>
      <c r="H86" s="102" t="n"/>
      <c r="I86" s="102" t="n"/>
      <c r="J86" s="33" t="n"/>
      <c r="K86" s="33" t="n"/>
      <c r="L86" s="109" t="n"/>
      <c r="M86" s="42" t="n"/>
      <c r="N86" s="110">
        <f>IF(AND(L86&lt;&gt;"",F86&gt;0),L86/F86,"")</f>
        <v/>
      </c>
      <c r="O86" s="1" t="n"/>
      <c r="P86" s="1" t="n"/>
      <c r="Q86" s="1" t="n"/>
      <c r="R86" s="120">
        <f>IF(D86&lt;&gt;"",IF(MONTH(D86)=MONTH(TODAY()),"🎂 Este mês!",""),"")</f>
        <v/>
      </c>
      <c r="S86" s="1" t="n"/>
    </row>
    <row r="87" ht="18" customHeight="1">
      <c r="A87" s="1" t="n"/>
      <c r="B87" s="39" t="n"/>
      <c r="C87" s="39" t="n"/>
      <c r="D87" s="101" t="n"/>
      <c r="E87" s="39" t="n"/>
      <c r="F87" s="39" t="n"/>
      <c r="G87" s="39" t="n"/>
      <c r="H87" s="101" t="n"/>
      <c r="I87" s="101" t="n"/>
      <c r="J87" s="39" t="n"/>
      <c r="K87" s="39" t="n"/>
      <c r="L87" s="107" t="n"/>
      <c r="M87" s="40" t="n"/>
      <c r="N87" s="108">
        <f>IF(AND(L87&lt;&gt;"",F87&gt;0),L87/F87,"")</f>
        <v/>
      </c>
      <c r="O87" s="1" t="n"/>
      <c r="P87" s="1" t="n"/>
      <c r="Q87" s="1" t="n"/>
      <c r="R87" s="120">
        <f>IF(D87&lt;&gt;"",IF(MONTH(D87)=MONTH(TODAY()),"🎂 Este mês!",""),"")</f>
        <v/>
      </c>
      <c r="S87" s="1" t="n"/>
    </row>
    <row r="88" ht="18" customHeight="1">
      <c r="A88" s="1" t="n"/>
      <c r="B88" s="33" t="n"/>
      <c r="C88" s="33" t="n"/>
      <c r="D88" s="102" t="n"/>
      <c r="E88" s="33" t="n"/>
      <c r="F88" s="33" t="n"/>
      <c r="G88" s="33" t="n"/>
      <c r="H88" s="102" t="n"/>
      <c r="I88" s="102" t="n"/>
      <c r="J88" s="33" t="n"/>
      <c r="K88" s="33" t="n"/>
      <c r="L88" s="109" t="n"/>
      <c r="M88" s="42" t="n"/>
      <c r="N88" s="110">
        <f>IF(AND(L88&lt;&gt;"",F88&gt;0),L88/F88,"")</f>
        <v/>
      </c>
      <c r="O88" s="1" t="n"/>
      <c r="P88" s="1" t="n"/>
      <c r="Q88" s="1" t="n"/>
      <c r="R88" s="120">
        <f>IF(D88&lt;&gt;"",IF(MONTH(D88)=MONTH(TODAY()),"🎂 Este mês!",""),"")</f>
        <v/>
      </c>
      <c r="S88" s="1" t="n"/>
    </row>
    <row r="89" ht="18" customHeight="1">
      <c r="A89" s="1" t="n"/>
      <c r="B89" s="39" t="n"/>
      <c r="C89" s="39" t="n"/>
      <c r="D89" s="101" t="n"/>
      <c r="E89" s="39" t="n"/>
      <c r="F89" s="39" t="n"/>
      <c r="G89" s="39" t="n"/>
      <c r="H89" s="101" t="n"/>
      <c r="I89" s="101" t="n"/>
      <c r="J89" s="39" t="n"/>
      <c r="K89" s="39" t="n"/>
      <c r="L89" s="107" t="n"/>
      <c r="M89" s="40" t="n"/>
      <c r="N89" s="108">
        <f>IF(AND(L89&lt;&gt;"",F89&gt;0),L89/F89,"")</f>
        <v/>
      </c>
      <c r="O89" s="1" t="n"/>
      <c r="P89" s="1" t="n"/>
      <c r="Q89" s="1" t="n"/>
      <c r="R89" s="120">
        <f>IF(D89&lt;&gt;"",IF(MONTH(D89)=MONTH(TODAY()),"🎂 Este mês!",""),"")</f>
        <v/>
      </c>
      <c r="S89" s="1" t="n"/>
    </row>
    <row r="90" ht="18" customHeight="1">
      <c r="A90" s="1" t="n"/>
      <c r="B90" s="33" t="n"/>
      <c r="C90" s="33" t="n"/>
      <c r="D90" s="102" t="n"/>
      <c r="E90" s="33" t="n"/>
      <c r="F90" s="33" t="n"/>
      <c r="G90" s="33" t="n"/>
      <c r="H90" s="102" t="n"/>
      <c r="I90" s="102" t="n"/>
      <c r="J90" s="33" t="n"/>
      <c r="K90" s="33" t="n"/>
      <c r="L90" s="109" t="n"/>
      <c r="M90" s="42" t="n"/>
      <c r="N90" s="110">
        <f>IF(AND(L90&lt;&gt;"",F90&gt;0),L90/F90,"")</f>
        <v/>
      </c>
      <c r="O90" s="1" t="n"/>
      <c r="P90" s="1" t="n"/>
      <c r="Q90" s="1" t="n"/>
      <c r="R90" s="120">
        <f>IF(D90&lt;&gt;"",IF(MONTH(D90)=MONTH(TODAY()),"🎂 Este mês!",""),"")</f>
        <v/>
      </c>
      <c r="S90" s="1" t="n"/>
    </row>
    <row r="91" ht="18" customHeight="1">
      <c r="A91" s="1" t="n"/>
      <c r="B91" s="39" t="n"/>
      <c r="C91" s="39" t="n"/>
      <c r="D91" s="101" t="n"/>
      <c r="E91" s="39" t="n"/>
      <c r="F91" s="39" t="n"/>
      <c r="G91" s="39" t="n"/>
      <c r="H91" s="101" t="n"/>
      <c r="I91" s="101" t="n"/>
      <c r="J91" s="39" t="n"/>
      <c r="K91" s="39" t="n"/>
      <c r="L91" s="107" t="n"/>
      <c r="M91" s="40" t="n"/>
      <c r="N91" s="108">
        <f>IF(AND(L91&lt;&gt;"",F91&gt;0),L91/F91,"")</f>
        <v/>
      </c>
      <c r="O91" s="1" t="n"/>
      <c r="P91" s="1" t="n"/>
      <c r="Q91" s="1" t="n"/>
      <c r="R91" s="120">
        <f>IF(D91&lt;&gt;"",IF(MONTH(D91)=MONTH(TODAY()),"🎂 Este mês!",""),"")</f>
        <v/>
      </c>
      <c r="S91" s="1" t="n"/>
    </row>
    <row r="92" ht="18" customHeight="1">
      <c r="A92" s="1" t="n"/>
      <c r="B92" s="33" t="n"/>
      <c r="C92" s="33" t="n"/>
      <c r="D92" s="102" t="n"/>
      <c r="E92" s="33" t="n"/>
      <c r="F92" s="33" t="n"/>
      <c r="G92" s="33" t="n"/>
      <c r="H92" s="102" t="n"/>
      <c r="I92" s="102" t="n"/>
      <c r="J92" s="33" t="n"/>
      <c r="K92" s="33" t="n"/>
      <c r="L92" s="109" t="n"/>
      <c r="M92" s="42" t="n"/>
      <c r="N92" s="110">
        <f>IF(AND(L92&lt;&gt;"",F92&gt;0),L92/F92,"")</f>
        <v/>
      </c>
      <c r="O92" s="1" t="n"/>
      <c r="P92" s="1" t="n"/>
      <c r="Q92" s="1" t="n"/>
      <c r="R92" s="120">
        <f>IF(D92&lt;&gt;"",IF(MONTH(D92)=MONTH(TODAY()),"🎂 Este mês!",""),"")</f>
        <v/>
      </c>
      <c r="S92" s="1" t="n"/>
    </row>
    <row r="93" ht="18" customHeight="1">
      <c r="A93" s="1" t="n"/>
      <c r="B93" s="39" t="n"/>
      <c r="C93" s="39" t="n"/>
      <c r="D93" s="101" t="n"/>
      <c r="E93" s="39" t="n"/>
      <c r="F93" s="39" t="n"/>
      <c r="G93" s="39" t="n"/>
      <c r="H93" s="101" t="n"/>
      <c r="I93" s="101" t="n"/>
      <c r="J93" s="39" t="n"/>
      <c r="K93" s="39" t="n"/>
      <c r="L93" s="107" t="n"/>
      <c r="M93" s="40" t="n"/>
      <c r="N93" s="108">
        <f>IF(AND(L93&lt;&gt;"",F93&gt;0),L93/F93,"")</f>
        <v/>
      </c>
      <c r="O93" s="1" t="n"/>
      <c r="P93" s="1" t="n"/>
      <c r="Q93" s="1" t="n"/>
      <c r="R93" s="120">
        <f>IF(D93&lt;&gt;"",IF(MONTH(D93)=MONTH(TODAY()),"🎂 Este mês!",""),"")</f>
        <v/>
      </c>
      <c r="S93" s="1" t="n"/>
    </row>
    <row r="94" ht="18" customHeight="1">
      <c r="A94" s="1" t="n"/>
      <c r="B94" s="33" t="n"/>
      <c r="C94" s="33" t="n"/>
      <c r="D94" s="102" t="n"/>
      <c r="E94" s="33" t="n"/>
      <c r="F94" s="33" t="n"/>
      <c r="G94" s="33" t="n"/>
      <c r="H94" s="102" t="n"/>
      <c r="I94" s="102" t="n"/>
      <c r="J94" s="33" t="n"/>
      <c r="K94" s="33" t="n"/>
      <c r="L94" s="109" t="n"/>
      <c r="M94" s="42" t="n"/>
      <c r="N94" s="110">
        <f>IF(AND(L94&lt;&gt;"",F94&gt;0),L94/F94,"")</f>
        <v/>
      </c>
      <c r="O94" s="1" t="n"/>
      <c r="P94" s="1" t="n"/>
      <c r="Q94" s="1" t="n"/>
      <c r="R94" s="120">
        <f>IF(D94&lt;&gt;"",IF(MONTH(D94)=MONTH(TODAY()),"🎂 Este mês!",""),"")</f>
        <v/>
      </c>
      <c r="S94" s="1" t="n"/>
    </row>
    <row r="95" ht="18" customHeight="1">
      <c r="A95" s="1" t="n"/>
      <c r="B95" s="39" t="n"/>
      <c r="C95" s="39" t="n"/>
      <c r="D95" s="101" t="n"/>
      <c r="E95" s="39" t="n"/>
      <c r="F95" s="39" t="n"/>
      <c r="G95" s="39" t="n"/>
      <c r="H95" s="101" t="n"/>
      <c r="I95" s="101" t="n"/>
      <c r="J95" s="39" t="n"/>
      <c r="K95" s="39" t="n"/>
      <c r="L95" s="107" t="n"/>
      <c r="M95" s="40" t="n"/>
      <c r="N95" s="108">
        <f>IF(AND(L95&lt;&gt;"",F95&gt;0),L95/F95,"")</f>
        <v/>
      </c>
      <c r="O95" s="1" t="n"/>
      <c r="P95" s="1" t="n"/>
      <c r="Q95" s="1" t="n"/>
      <c r="R95" s="120">
        <f>IF(D95&lt;&gt;"",IF(MONTH(D95)=MONTH(TODAY()),"🎂 Este mês!",""),"")</f>
        <v/>
      </c>
      <c r="S95" s="1" t="n"/>
    </row>
    <row r="96" ht="18" customHeight="1">
      <c r="A96" s="1" t="n"/>
      <c r="B96" s="33" t="n"/>
      <c r="C96" s="33" t="n"/>
      <c r="D96" s="102" t="n"/>
      <c r="E96" s="33" t="n"/>
      <c r="F96" s="33" t="n"/>
      <c r="G96" s="33" t="n"/>
      <c r="H96" s="102" t="n"/>
      <c r="I96" s="102" t="n"/>
      <c r="J96" s="33" t="n"/>
      <c r="K96" s="33" t="n"/>
      <c r="L96" s="109" t="n"/>
      <c r="M96" s="42" t="n"/>
      <c r="N96" s="110">
        <f>IF(AND(L96&lt;&gt;"",F96&gt;0),L96/F96,"")</f>
        <v/>
      </c>
      <c r="O96" s="1" t="n"/>
      <c r="P96" s="1" t="n"/>
      <c r="Q96" s="1" t="n"/>
      <c r="R96" s="120">
        <f>IF(D96&lt;&gt;"",IF(MONTH(D96)=MONTH(TODAY()),"🎂 Este mês!",""),"")</f>
        <v/>
      </c>
      <c r="S96" s="1" t="n"/>
    </row>
    <row r="97" ht="18" customHeight="1">
      <c r="A97" s="1" t="n"/>
      <c r="B97" s="39" t="n"/>
      <c r="C97" s="39" t="n"/>
      <c r="D97" s="101" t="n"/>
      <c r="E97" s="39" t="n"/>
      <c r="F97" s="39" t="n"/>
      <c r="G97" s="39" t="n"/>
      <c r="H97" s="101" t="n"/>
      <c r="I97" s="101" t="n"/>
      <c r="J97" s="39" t="n"/>
      <c r="K97" s="39" t="n"/>
      <c r="L97" s="107" t="n"/>
      <c r="M97" s="40" t="n"/>
      <c r="N97" s="108">
        <f>IF(AND(L97&lt;&gt;"",F97&gt;0),L97/F97,"")</f>
        <v/>
      </c>
      <c r="O97" s="1" t="n"/>
      <c r="P97" s="1" t="n"/>
      <c r="Q97" s="1" t="n"/>
      <c r="R97" s="120">
        <f>IF(D97&lt;&gt;"",IF(MONTH(D97)=MONTH(TODAY()),"🎂 Este mês!",""),"")</f>
        <v/>
      </c>
      <c r="S97" s="1" t="n"/>
    </row>
    <row r="98" ht="18" customHeight="1">
      <c r="A98" s="1" t="n"/>
      <c r="B98" s="33" t="n"/>
      <c r="C98" s="33" t="n"/>
      <c r="D98" s="102" t="n"/>
      <c r="E98" s="33" t="n"/>
      <c r="F98" s="33" t="n"/>
      <c r="G98" s="33" t="n"/>
      <c r="H98" s="102" t="n"/>
      <c r="I98" s="102" t="n"/>
      <c r="J98" s="33" t="n"/>
      <c r="K98" s="33" t="n"/>
      <c r="L98" s="109" t="n"/>
      <c r="M98" s="42" t="n"/>
      <c r="N98" s="110">
        <f>IF(AND(L98&lt;&gt;"",F98&gt;0),L98/F98,"")</f>
        <v/>
      </c>
      <c r="O98" s="1" t="n"/>
      <c r="P98" s="1" t="n"/>
      <c r="Q98" s="1" t="n"/>
      <c r="R98" s="120">
        <f>IF(D98&lt;&gt;"",IF(MONTH(D98)=MONTH(TODAY()),"🎂 Este mês!",""),"")</f>
        <v/>
      </c>
      <c r="S98" s="1" t="n"/>
    </row>
    <row r="99" ht="18" customHeight="1">
      <c r="A99" s="1" t="n"/>
      <c r="B99" s="39" t="n"/>
      <c r="C99" s="39" t="n"/>
      <c r="D99" s="101" t="n"/>
      <c r="E99" s="39" t="n"/>
      <c r="F99" s="39" t="n"/>
      <c r="G99" s="39" t="n"/>
      <c r="H99" s="101" t="n"/>
      <c r="I99" s="101" t="n"/>
      <c r="J99" s="39" t="n"/>
      <c r="K99" s="39" t="n"/>
      <c r="L99" s="107" t="n"/>
      <c r="M99" s="40" t="n"/>
      <c r="N99" s="108">
        <f>IF(AND(L99&lt;&gt;"",F99&gt;0),L99/F99,"")</f>
        <v/>
      </c>
      <c r="O99" s="1" t="n"/>
      <c r="P99" s="1" t="n"/>
      <c r="Q99" s="1" t="n"/>
      <c r="R99" s="120">
        <f>IF(D99&lt;&gt;"",IF(MONTH(D99)=MONTH(TODAY()),"🎂 Este mês!",""),"")</f>
        <v/>
      </c>
      <c r="S99" s="1" t="n"/>
    </row>
    <row r="100" ht="18" customHeight="1">
      <c r="A100" s="1" t="n"/>
      <c r="B100" s="33" t="n"/>
      <c r="C100" s="33" t="n"/>
      <c r="D100" s="102" t="n"/>
      <c r="E100" s="33" t="n"/>
      <c r="F100" s="33" t="n"/>
      <c r="G100" s="33" t="n"/>
      <c r="H100" s="102" t="n"/>
      <c r="I100" s="102" t="n"/>
      <c r="J100" s="33" t="n"/>
      <c r="K100" s="33" t="n"/>
      <c r="L100" s="109" t="n"/>
      <c r="M100" s="42" t="n"/>
      <c r="N100" s="110">
        <f>IF(AND(L100&lt;&gt;"",F100&gt;0),L100/F100,"")</f>
        <v/>
      </c>
      <c r="O100" s="1" t="n"/>
      <c r="P100" s="1" t="n"/>
      <c r="Q100" s="1" t="n"/>
      <c r="R100" s="120">
        <f>IF(D100&lt;&gt;"",IF(MONTH(D100)=MONTH(TODAY()),"🎂 Este mês!",""),"")</f>
        <v/>
      </c>
      <c r="S100" s="1" t="n"/>
    </row>
    <row r="101" ht="18" customHeight="1">
      <c r="A101" s="1" t="n"/>
      <c r="B101" s="39" t="n"/>
      <c r="C101" s="39" t="n"/>
      <c r="D101" s="101" t="n"/>
      <c r="E101" s="39" t="n"/>
      <c r="F101" s="39" t="n"/>
      <c r="G101" s="39" t="n"/>
      <c r="H101" s="101" t="n"/>
      <c r="I101" s="101" t="n"/>
      <c r="J101" s="39" t="n"/>
      <c r="K101" s="39" t="n"/>
      <c r="L101" s="107" t="n"/>
      <c r="M101" s="40" t="n"/>
      <c r="N101" s="108">
        <f>IF(AND(L101&lt;&gt;"",F101&gt;0),L101/F101,"")</f>
        <v/>
      </c>
      <c r="O101" s="1" t="n"/>
      <c r="P101" s="1" t="n"/>
      <c r="Q101" s="1" t="n"/>
      <c r="R101" s="120">
        <f>IF(D101&lt;&gt;"",IF(MONTH(D101)=MONTH(TODAY()),"🎂 Este mês!",""),"")</f>
        <v/>
      </c>
      <c r="S101" s="1" t="n"/>
    </row>
    <row r="102" ht="18" customHeight="1">
      <c r="A102" s="1" t="n"/>
      <c r="B102" s="33" t="n"/>
      <c r="C102" s="33" t="n"/>
      <c r="D102" s="102" t="n"/>
      <c r="E102" s="33" t="n"/>
      <c r="F102" s="33" t="n"/>
      <c r="G102" s="33" t="n"/>
      <c r="H102" s="102" t="n"/>
      <c r="I102" s="102" t="n"/>
      <c r="J102" s="33" t="n"/>
      <c r="K102" s="33" t="n"/>
      <c r="L102" s="109" t="n"/>
      <c r="M102" s="42" t="n"/>
      <c r="N102" s="110">
        <f>IF(AND(L102&lt;&gt;"",F102&gt;0),L102/F102,"")</f>
        <v/>
      </c>
      <c r="O102" s="1" t="n"/>
      <c r="P102" s="1" t="n"/>
      <c r="Q102" s="1" t="n"/>
      <c r="R102" s="120">
        <f>IF(D102&lt;&gt;"",IF(MONTH(D102)=MONTH(TODAY()),"🎂 Este mês!",""),"")</f>
        <v/>
      </c>
      <c r="S102" s="1" t="n"/>
    </row>
    <row r="103" ht="18" customHeight="1">
      <c r="A103" s="1" t="n"/>
      <c r="B103" s="39" t="n"/>
      <c r="C103" s="39" t="n"/>
      <c r="D103" s="101" t="n"/>
      <c r="E103" s="39" t="n"/>
      <c r="F103" s="39" t="n"/>
      <c r="G103" s="39" t="n"/>
      <c r="H103" s="101" t="n"/>
      <c r="I103" s="101" t="n"/>
      <c r="J103" s="39" t="n"/>
      <c r="K103" s="39" t="n"/>
      <c r="L103" s="107" t="n"/>
      <c r="M103" s="40" t="n"/>
      <c r="N103" s="108">
        <f>IF(AND(L103&lt;&gt;"",F103&gt;0),L103/F103,"")</f>
        <v/>
      </c>
      <c r="O103" s="1" t="n"/>
      <c r="P103" s="1" t="n"/>
      <c r="Q103" s="1" t="n"/>
      <c r="R103" s="120">
        <f>IF(D103&lt;&gt;"",IF(MONTH(D103)=MONTH(TODAY()),"🎂 Este mês!",""),"")</f>
        <v/>
      </c>
      <c r="S103" s="1" t="n"/>
    </row>
    <row r="104" ht="18" customHeight="1">
      <c r="A104" s="1" t="n"/>
      <c r="B104" s="33" t="n"/>
      <c r="C104" s="33" t="n"/>
      <c r="D104" s="102" t="n"/>
      <c r="E104" s="33" t="n"/>
      <c r="F104" s="33" t="n"/>
      <c r="G104" s="33" t="n"/>
      <c r="H104" s="102" t="n"/>
      <c r="I104" s="102" t="n"/>
      <c r="J104" s="33" t="n"/>
      <c r="K104" s="33" t="n"/>
      <c r="L104" s="109" t="n"/>
      <c r="M104" s="42" t="n"/>
      <c r="N104" s="110">
        <f>IF(AND(L104&lt;&gt;"",F104&gt;0),L104/F104,"")</f>
        <v/>
      </c>
      <c r="O104" s="1" t="n"/>
      <c r="P104" s="1" t="n"/>
      <c r="Q104" s="1" t="n"/>
      <c r="R104" s="120">
        <f>IF(D104&lt;&gt;"",IF(MONTH(D104)=MONTH(TODAY()),"🎂 Este mês!",""),"")</f>
        <v/>
      </c>
      <c r="S104" s="1" t="n"/>
    </row>
    <row r="105">
      <c r="A105" s="1" t="n"/>
      <c r="B105" s="1" t="n"/>
      <c r="C105" s="1" t="n"/>
      <c r="D105" s="104" t="n"/>
      <c r="E105" s="1" t="n"/>
      <c r="F105" s="1" t="n"/>
      <c r="G105" s="1" t="n"/>
      <c r="H105" s="104" t="n"/>
      <c r="I105" s="104" t="n"/>
      <c r="J105" s="1" t="n"/>
      <c r="K105" s="1" t="n"/>
      <c r="L105" s="111" t="n"/>
      <c r="M105" s="1" t="n"/>
      <c r="N105" s="112">
        <f>IF(AND(L105&lt;&gt;"",F105&gt;0),L105/F105,"")</f>
        <v/>
      </c>
      <c r="O105" s="1" t="n"/>
      <c r="P105" s="1" t="n"/>
      <c r="Q105" s="1" t="n"/>
      <c r="R105" s="120">
        <f>IF(D105&lt;&gt;"",IF(MONTH(D105)=MONTH(TODAY()),"🎂 Este mês!",""),"")</f>
        <v/>
      </c>
      <c r="S105" s="1" t="n"/>
    </row>
    <row r="106">
      <c r="A106" s="1" t="n"/>
      <c r="B106" s="1" t="n"/>
      <c r="C106" s="1" t="n"/>
      <c r="D106" s="104" t="n"/>
      <c r="E106" s="1" t="n"/>
      <c r="F106" s="1" t="n"/>
      <c r="G106" s="1" t="n"/>
      <c r="H106" s="104" t="n"/>
      <c r="I106" s="104" t="n"/>
      <c r="J106" s="1" t="n"/>
      <c r="K106" s="1" t="n"/>
      <c r="L106" s="111" t="n"/>
      <c r="M106" s="1" t="n"/>
      <c r="N106" s="112">
        <f>IF(AND(L106&lt;&gt;"",F106&gt;0),L106/F106,"")</f>
        <v/>
      </c>
      <c r="O106" s="1" t="n"/>
      <c r="P106" s="1" t="n"/>
      <c r="Q106" s="1" t="n"/>
      <c r="R106" s="120">
        <f>IF(D106&lt;&gt;"",IF(MONTH(D106)=MONTH(TODAY()),"🎂 Este mês!",""),"")</f>
        <v/>
      </c>
      <c r="S106" s="1" t="n"/>
    </row>
    <row r="107">
      <c r="A107" s="1" t="n"/>
      <c r="B107" s="1" t="n"/>
      <c r="C107" s="1" t="n"/>
      <c r="D107" s="104" t="n"/>
      <c r="E107" s="1" t="n"/>
      <c r="F107" s="1" t="n"/>
      <c r="G107" s="1" t="n"/>
      <c r="H107" s="104" t="n"/>
      <c r="I107" s="104" t="n"/>
      <c r="J107" s="1" t="n"/>
      <c r="K107" s="1" t="n"/>
      <c r="L107" s="111" t="n"/>
      <c r="M107" s="1" t="n"/>
      <c r="N107" s="112">
        <f>IF(AND(L107&lt;&gt;"",F107&gt;0),L107/F107,"")</f>
        <v/>
      </c>
      <c r="O107" s="1" t="n"/>
      <c r="P107" s="1" t="n"/>
      <c r="Q107" s="1" t="n"/>
      <c r="R107" s="120">
        <f>IF(D107&lt;&gt;"",IF(MONTH(D107)=MONTH(TODAY()),"🎂 Este mês!",""),"")</f>
        <v/>
      </c>
      <c r="S107" s="1" t="n"/>
    </row>
    <row r="108">
      <c r="A108" s="1" t="n"/>
      <c r="B108" s="1" t="n"/>
      <c r="C108" s="1" t="n"/>
      <c r="D108" s="104" t="n"/>
      <c r="E108" s="1" t="n"/>
      <c r="F108" s="1" t="n"/>
      <c r="G108" s="1" t="n"/>
      <c r="H108" s="104" t="n"/>
      <c r="I108" s="104" t="n"/>
      <c r="J108" s="1" t="n"/>
      <c r="K108" s="1" t="n"/>
      <c r="L108" s="111" t="n"/>
      <c r="M108" s="1" t="n"/>
      <c r="N108" s="112">
        <f>IF(AND(L108&lt;&gt;"",F108&gt;0),L108/F108,"")</f>
        <v/>
      </c>
      <c r="O108" s="1" t="n"/>
      <c r="P108" s="1" t="n"/>
      <c r="Q108" s="1" t="n"/>
      <c r="R108" s="120">
        <f>IF(D108&lt;&gt;"",IF(MONTH(D108)=MONTH(TODAY()),"🎂 Este mês!",""),"")</f>
        <v/>
      </c>
      <c r="S108" s="1" t="n"/>
    </row>
    <row r="109">
      <c r="A109" s="1" t="n"/>
      <c r="B109" s="1" t="n"/>
      <c r="C109" s="1" t="n"/>
      <c r="D109" s="104" t="n"/>
      <c r="E109" s="1" t="n"/>
      <c r="F109" s="1" t="n"/>
      <c r="G109" s="1" t="n"/>
      <c r="H109" s="104" t="n"/>
      <c r="I109" s="104" t="n"/>
      <c r="J109" s="1" t="n"/>
      <c r="K109" s="1" t="n"/>
      <c r="L109" s="111" t="n"/>
      <c r="M109" s="1" t="n"/>
      <c r="N109" s="112">
        <f>IF(AND(L109&lt;&gt;"",F109&gt;0),L109/F109,"")</f>
        <v/>
      </c>
      <c r="O109" s="1" t="n"/>
      <c r="P109" s="1" t="n"/>
      <c r="Q109" s="1" t="n"/>
      <c r="R109" s="120">
        <f>IF(D109&lt;&gt;"",IF(MONTH(D109)=MONTH(TODAY()),"🎂 Este mês!",""),"")</f>
        <v/>
      </c>
      <c r="S109" s="1" t="n"/>
    </row>
    <row r="110">
      <c r="A110" s="1" t="n"/>
      <c r="B110" s="1" t="n"/>
      <c r="C110" s="1" t="n"/>
      <c r="D110" s="104" t="n"/>
      <c r="E110" s="1" t="n"/>
      <c r="F110" s="1" t="n"/>
      <c r="G110" s="1" t="n"/>
      <c r="H110" s="104" t="n"/>
      <c r="I110" s="104" t="n"/>
      <c r="J110" s="1" t="n"/>
      <c r="K110" s="1" t="n"/>
      <c r="L110" s="111" t="n"/>
      <c r="M110" s="1" t="n"/>
      <c r="N110" s="112">
        <f>IF(AND(L110&lt;&gt;"",F110&gt;0),L110/F110,"")</f>
        <v/>
      </c>
      <c r="O110" s="1" t="n"/>
      <c r="P110" s="1" t="n"/>
      <c r="Q110" s="1" t="n"/>
      <c r="R110" s="120">
        <f>IF(D110&lt;&gt;"",IF(MONTH(D110)=MONTH(TODAY()),"🎂 Este mês!",""),"")</f>
        <v/>
      </c>
      <c r="S110" s="1" t="n"/>
    </row>
    <row r="111">
      <c r="A111" s="1" t="n"/>
      <c r="B111" s="1" t="n"/>
      <c r="C111" s="1" t="n"/>
      <c r="D111" s="104" t="n"/>
      <c r="E111" s="1" t="n"/>
      <c r="F111" s="1" t="n"/>
      <c r="G111" s="1" t="n"/>
      <c r="H111" s="104" t="n"/>
      <c r="I111" s="104" t="n"/>
      <c r="J111" s="1" t="n"/>
      <c r="K111" s="1" t="n"/>
      <c r="L111" s="111" t="n"/>
      <c r="M111" s="1" t="n"/>
      <c r="N111" s="112">
        <f>IF(AND(L111&lt;&gt;"",F111&gt;0),L111/F111,"")</f>
        <v/>
      </c>
      <c r="O111" s="1" t="n"/>
      <c r="P111" s="1" t="n"/>
      <c r="Q111" s="1" t="n"/>
      <c r="R111" s="120">
        <f>IF(D111&lt;&gt;"",IF(MONTH(D111)=MONTH(TODAY()),"🎂 Este mês!",""),"")</f>
        <v/>
      </c>
      <c r="S111" s="1" t="n"/>
    </row>
    <row r="112">
      <c r="A112" s="1" t="n"/>
      <c r="B112" s="1" t="n"/>
      <c r="C112" s="1" t="n"/>
      <c r="D112" s="104" t="n"/>
      <c r="E112" s="1" t="n"/>
      <c r="F112" s="1" t="n"/>
      <c r="G112" s="1" t="n"/>
      <c r="H112" s="104" t="n"/>
      <c r="I112" s="104" t="n"/>
      <c r="J112" s="1" t="n"/>
      <c r="K112" s="1" t="n"/>
      <c r="L112" s="111" t="n"/>
      <c r="M112" s="1" t="n"/>
      <c r="N112" s="112">
        <f>IF(AND(L112&lt;&gt;"",F112&gt;0),L112/F112,"")</f>
        <v/>
      </c>
      <c r="O112" s="1" t="n"/>
      <c r="P112" s="1" t="n"/>
      <c r="Q112" s="1" t="n"/>
      <c r="R112" s="120">
        <f>IF(D112&lt;&gt;"",IF(MONTH(D112)=MONTH(TODAY()),"🎂 Este mês!",""),"")</f>
        <v/>
      </c>
      <c r="S112" s="1" t="n"/>
    </row>
    <row r="113">
      <c r="A113" s="1" t="n"/>
      <c r="B113" s="1" t="n"/>
      <c r="C113" s="1" t="n"/>
      <c r="D113" s="104" t="n"/>
      <c r="E113" s="1" t="n"/>
      <c r="F113" s="1" t="n"/>
      <c r="G113" s="1" t="n"/>
      <c r="H113" s="104" t="n"/>
      <c r="I113" s="104" t="n"/>
      <c r="J113" s="1" t="n"/>
      <c r="K113" s="1" t="n"/>
      <c r="L113" s="111" t="n"/>
      <c r="M113" s="1" t="n"/>
      <c r="N113" s="112">
        <f>IF(AND(L113&lt;&gt;"",F113&gt;0),L113/F113,"")</f>
        <v/>
      </c>
      <c r="O113" s="1" t="n"/>
      <c r="P113" s="1" t="n"/>
      <c r="Q113" s="1" t="n"/>
      <c r="R113" s="120">
        <f>IF(D113&lt;&gt;"",IF(MONTH(D113)=MONTH(TODAY()),"🎂 Este mês!",""),"")</f>
        <v/>
      </c>
      <c r="S113" s="1" t="n"/>
    </row>
    <row r="114">
      <c r="A114" s="1" t="n"/>
      <c r="B114" s="1" t="n"/>
      <c r="C114" s="1" t="n"/>
      <c r="D114" s="104" t="n"/>
      <c r="E114" s="1" t="n"/>
      <c r="F114" s="1" t="n"/>
      <c r="G114" s="1" t="n"/>
      <c r="H114" s="104" t="n"/>
      <c r="I114" s="104" t="n"/>
      <c r="J114" s="1" t="n"/>
      <c r="K114" s="1" t="n"/>
      <c r="L114" s="111" t="n"/>
      <c r="M114" s="1" t="n"/>
      <c r="N114" s="112">
        <f>IF(AND(L114&lt;&gt;"",F114&gt;0),L114/F114,"")</f>
        <v/>
      </c>
      <c r="O114" s="1" t="n"/>
      <c r="P114" s="1" t="n"/>
      <c r="Q114" s="1" t="n"/>
      <c r="R114" s="120">
        <f>IF(D114&lt;&gt;"",IF(MONTH(D114)=MONTH(TODAY()),"🎂 Este mês!",""),"")</f>
        <v/>
      </c>
      <c r="S114" s="1" t="n"/>
    </row>
    <row r="115">
      <c r="A115" s="1" t="n"/>
      <c r="B115" s="1" t="n"/>
      <c r="C115" s="1" t="n"/>
      <c r="D115" s="104" t="n"/>
      <c r="E115" s="1" t="n"/>
      <c r="F115" s="1" t="n"/>
      <c r="G115" s="1" t="n"/>
      <c r="H115" s="104" t="n"/>
      <c r="I115" s="104" t="n"/>
      <c r="J115" s="1" t="n"/>
      <c r="K115" s="1" t="n"/>
      <c r="L115" s="111" t="n"/>
      <c r="M115" s="1" t="n"/>
      <c r="N115" s="112">
        <f>IF(AND(L115&lt;&gt;"",F115&gt;0),L115/F115,"")</f>
        <v/>
      </c>
      <c r="O115" s="1" t="n"/>
      <c r="P115" s="1" t="n"/>
      <c r="Q115" s="1" t="n"/>
      <c r="R115" s="120">
        <f>IF(D115&lt;&gt;"",IF(MONTH(D115)=MONTH(TODAY()),"🎂 Este mês!",""),"")</f>
        <v/>
      </c>
      <c r="S115" s="1" t="n"/>
    </row>
    <row r="116">
      <c r="A116" s="1" t="n"/>
      <c r="B116" s="1" t="n"/>
      <c r="C116" s="1" t="n"/>
      <c r="D116" s="104" t="n"/>
      <c r="E116" s="1" t="n"/>
      <c r="F116" s="1" t="n"/>
      <c r="G116" s="1" t="n"/>
      <c r="H116" s="104" t="n"/>
      <c r="I116" s="104" t="n"/>
      <c r="J116" s="1" t="n"/>
      <c r="K116" s="1" t="n"/>
      <c r="L116" s="111" t="n"/>
      <c r="M116" s="1" t="n"/>
      <c r="N116" s="112">
        <f>IF(AND(L116&lt;&gt;"",F116&gt;0),L116/F116,"")</f>
        <v/>
      </c>
      <c r="O116" s="1" t="n"/>
      <c r="P116" s="1" t="n"/>
      <c r="Q116" s="1" t="n"/>
      <c r="R116" s="120">
        <f>IF(D116&lt;&gt;"",IF(MONTH(D116)=MONTH(TODAY()),"🎂 Este mês!",""),"")</f>
        <v/>
      </c>
      <c r="S116" s="1" t="n"/>
    </row>
    <row r="117">
      <c r="A117" s="1" t="n"/>
      <c r="B117" s="1" t="n"/>
      <c r="C117" s="1" t="n"/>
      <c r="D117" s="104" t="n"/>
      <c r="E117" s="1" t="n"/>
      <c r="F117" s="1" t="n"/>
      <c r="G117" s="1" t="n"/>
      <c r="H117" s="104" t="n"/>
      <c r="I117" s="104" t="n"/>
      <c r="J117" s="1" t="n"/>
      <c r="K117" s="1" t="n"/>
      <c r="L117" s="111" t="n"/>
      <c r="M117" s="1" t="n"/>
      <c r="N117" s="112">
        <f>IF(AND(L117&lt;&gt;"",F117&gt;0),L117/F117,"")</f>
        <v/>
      </c>
      <c r="O117" s="1" t="n"/>
      <c r="P117" s="1" t="n"/>
      <c r="Q117" s="1" t="n"/>
      <c r="R117" s="120">
        <f>IF(D117&lt;&gt;"",IF(MONTH(D117)=MONTH(TODAY()),"🎂 Este mês!",""),"")</f>
        <v/>
      </c>
      <c r="S117" s="1" t="n"/>
    </row>
    <row r="118">
      <c r="A118" s="1" t="n"/>
      <c r="B118" s="1" t="n"/>
      <c r="C118" s="1" t="n"/>
      <c r="D118" s="104" t="n"/>
      <c r="E118" s="1" t="n"/>
      <c r="F118" s="1" t="n"/>
      <c r="G118" s="1" t="n"/>
      <c r="H118" s="104" t="n"/>
      <c r="I118" s="104" t="n"/>
      <c r="J118" s="1" t="n"/>
      <c r="K118" s="1" t="n"/>
      <c r="L118" s="111" t="n"/>
      <c r="M118" s="1" t="n"/>
      <c r="N118" s="112">
        <f>IF(AND(L118&lt;&gt;"",F118&gt;0),L118/F118,"")</f>
        <v/>
      </c>
      <c r="O118" s="1" t="n"/>
      <c r="P118" s="1" t="n"/>
      <c r="Q118" s="1" t="n"/>
      <c r="R118" s="120">
        <f>IF(D118&lt;&gt;"",IF(MONTH(D118)=MONTH(TODAY()),"🎂 Este mês!",""),"")</f>
        <v/>
      </c>
      <c r="S118" s="1" t="n"/>
    </row>
    <row r="119">
      <c r="A119" s="1" t="n"/>
      <c r="B119" s="1" t="n"/>
      <c r="C119" s="1" t="n"/>
      <c r="D119" s="104" t="n"/>
      <c r="E119" s="1" t="n"/>
      <c r="F119" s="1" t="n"/>
      <c r="G119" s="1" t="n"/>
      <c r="H119" s="104" t="n"/>
      <c r="I119" s="104" t="n"/>
      <c r="J119" s="1" t="n"/>
      <c r="K119" s="1" t="n"/>
      <c r="L119" s="111" t="n"/>
      <c r="M119" s="1" t="n"/>
      <c r="N119" s="112">
        <f>IF(AND(L119&lt;&gt;"",F119&gt;0),L119/F119,"")</f>
        <v/>
      </c>
      <c r="O119" s="1" t="n"/>
      <c r="P119" s="1" t="n"/>
      <c r="Q119" s="1" t="n"/>
      <c r="R119" s="120">
        <f>IF(D119&lt;&gt;"",IF(MONTH(D119)=MONTH(TODAY()),"🎂 Este mês!",""),"")</f>
        <v/>
      </c>
      <c r="S119" s="1" t="n"/>
    </row>
    <row r="120">
      <c r="A120" s="1" t="n"/>
      <c r="B120" s="1" t="n"/>
      <c r="C120" s="1" t="n"/>
      <c r="D120" s="104" t="n"/>
      <c r="E120" s="1" t="n"/>
      <c r="F120" s="1" t="n"/>
      <c r="G120" s="1" t="n"/>
      <c r="H120" s="104" t="n"/>
      <c r="I120" s="104" t="n"/>
      <c r="J120" s="1" t="n"/>
      <c r="K120" s="1" t="n"/>
      <c r="L120" s="111" t="n"/>
      <c r="M120" s="1" t="n"/>
      <c r="N120" s="112">
        <f>IF(AND(L120&lt;&gt;"",F120&gt;0),L120/F120,"")</f>
        <v/>
      </c>
      <c r="O120" s="1" t="n"/>
      <c r="P120" s="1" t="n"/>
      <c r="Q120" s="1" t="n"/>
      <c r="R120" s="120">
        <f>IF(D120&lt;&gt;"",IF(MONTH(D120)=MONTH(TODAY()),"🎂 Este mês!",""),"")</f>
        <v/>
      </c>
      <c r="S120" s="1" t="n"/>
    </row>
    <row r="121">
      <c r="A121" s="1" t="n"/>
      <c r="B121" s="1" t="n"/>
      <c r="C121" s="1" t="n"/>
      <c r="D121" s="104" t="n"/>
      <c r="E121" s="1" t="n"/>
      <c r="F121" s="1" t="n"/>
      <c r="G121" s="1" t="n"/>
      <c r="H121" s="104" t="n"/>
      <c r="I121" s="104" t="n"/>
      <c r="J121" s="1" t="n"/>
      <c r="K121" s="1" t="n"/>
      <c r="L121" s="111" t="n"/>
      <c r="M121" s="1" t="n"/>
      <c r="N121" s="112">
        <f>IF(AND(L121&lt;&gt;"",F121&gt;0),L121/F121,"")</f>
        <v/>
      </c>
      <c r="O121" s="1" t="n"/>
      <c r="P121" s="1" t="n"/>
      <c r="Q121" s="1" t="n"/>
      <c r="R121" s="120">
        <f>IF(D121&lt;&gt;"",IF(MONTH(D121)=MONTH(TODAY()),"🎂 Este mês!",""),"")</f>
        <v/>
      </c>
      <c r="S121" s="1" t="n"/>
    </row>
    <row r="122">
      <c r="A122" s="1" t="n"/>
      <c r="B122" s="1" t="n"/>
      <c r="C122" s="1" t="n"/>
      <c r="D122" s="104" t="n"/>
      <c r="E122" s="1" t="n"/>
      <c r="F122" s="1" t="n"/>
      <c r="G122" s="1" t="n"/>
      <c r="H122" s="104" t="n"/>
      <c r="I122" s="104" t="n"/>
      <c r="J122" s="1" t="n"/>
      <c r="K122" s="1" t="n"/>
      <c r="L122" s="111" t="n"/>
      <c r="M122" s="1" t="n"/>
      <c r="N122" s="112">
        <f>IF(AND(L122&lt;&gt;"",F122&gt;0),L122/F122,"")</f>
        <v/>
      </c>
      <c r="O122" s="1" t="n"/>
      <c r="P122" s="1" t="n"/>
      <c r="Q122" s="1" t="n"/>
      <c r="R122" s="120">
        <f>IF(D122&lt;&gt;"",IF(MONTH(D122)=MONTH(TODAY()),"🎂 Este mês!",""),"")</f>
        <v/>
      </c>
      <c r="S122" s="1" t="n"/>
    </row>
    <row r="123">
      <c r="A123" s="1" t="n"/>
      <c r="B123" s="1" t="n"/>
      <c r="C123" s="1" t="n"/>
      <c r="D123" s="104" t="n"/>
      <c r="E123" s="1" t="n"/>
      <c r="F123" s="1" t="n"/>
      <c r="G123" s="1" t="n"/>
      <c r="H123" s="104" t="n"/>
      <c r="I123" s="104" t="n"/>
      <c r="J123" s="1" t="n"/>
      <c r="K123" s="1" t="n"/>
      <c r="L123" s="111" t="n"/>
      <c r="M123" s="1" t="n"/>
      <c r="N123" s="112">
        <f>IF(AND(L123&lt;&gt;"",F123&gt;0),L123/F123,"")</f>
        <v/>
      </c>
      <c r="O123" s="1" t="n"/>
      <c r="P123" s="1" t="n"/>
      <c r="Q123" s="1" t="n"/>
      <c r="R123" s="120">
        <f>IF(D123&lt;&gt;"",IF(MONTH(D123)=MONTH(TODAY()),"🎂 Este mês!",""),"")</f>
        <v/>
      </c>
      <c r="S123" s="1" t="n"/>
    </row>
    <row r="124">
      <c r="A124" s="1" t="n"/>
      <c r="B124" s="1" t="n"/>
      <c r="C124" s="1" t="n"/>
      <c r="D124" s="104" t="n"/>
      <c r="E124" s="1" t="n"/>
      <c r="F124" s="1" t="n"/>
      <c r="G124" s="1" t="n"/>
      <c r="H124" s="104" t="n"/>
      <c r="I124" s="104" t="n"/>
      <c r="J124" s="1" t="n"/>
      <c r="K124" s="1" t="n"/>
      <c r="L124" s="111" t="n"/>
      <c r="M124" s="1" t="n"/>
      <c r="N124" s="112">
        <f>IF(AND(L124&lt;&gt;"",F124&gt;0),L124/F124,"")</f>
        <v/>
      </c>
      <c r="O124" s="1" t="n"/>
      <c r="P124" s="1" t="n"/>
      <c r="Q124" s="1" t="n"/>
      <c r="R124" s="120">
        <f>IF(D124&lt;&gt;"",IF(MONTH(D124)=MONTH(TODAY()),"🎂 Este mês!",""),"")</f>
        <v/>
      </c>
      <c r="S124" s="1" t="n"/>
    </row>
    <row r="125">
      <c r="A125" s="1" t="n"/>
      <c r="B125" s="1" t="n"/>
      <c r="C125" s="1" t="n"/>
      <c r="D125" s="104" t="n"/>
      <c r="E125" s="1" t="n"/>
      <c r="F125" s="1" t="n"/>
      <c r="G125" s="1" t="n"/>
      <c r="H125" s="104" t="n"/>
      <c r="I125" s="104" t="n"/>
      <c r="J125" s="1" t="n"/>
      <c r="K125" s="1" t="n"/>
      <c r="L125" s="111" t="n"/>
      <c r="M125" s="1" t="n"/>
      <c r="N125" s="112">
        <f>IF(AND(L125&lt;&gt;"",F125&gt;0),L125/F125,"")</f>
        <v/>
      </c>
      <c r="O125" s="1" t="n"/>
      <c r="P125" s="1" t="n"/>
      <c r="Q125" s="1" t="n"/>
      <c r="R125" s="120">
        <f>IF(D125&lt;&gt;"",IF(MONTH(D125)=MONTH(TODAY()),"🎂 Este mês!",""),"")</f>
        <v/>
      </c>
      <c r="S125" s="1" t="n"/>
    </row>
    <row r="126">
      <c r="A126" s="1" t="n"/>
      <c r="B126" s="1" t="n"/>
      <c r="C126" s="1" t="n"/>
      <c r="D126" s="104" t="n"/>
      <c r="E126" s="1" t="n"/>
      <c r="F126" s="1" t="n"/>
      <c r="G126" s="1" t="n"/>
      <c r="H126" s="104" t="n"/>
      <c r="I126" s="104" t="n"/>
      <c r="J126" s="1" t="n"/>
      <c r="K126" s="1" t="n"/>
      <c r="L126" s="111" t="n"/>
      <c r="M126" s="1" t="n"/>
      <c r="N126" s="112">
        <f>IF(AND(L126&lt;&gt;"",F126&gt;0),L126/F126,"")</f>
        <v/>
      </c>
      <c r="O126" s="1" t="n"/>
      <c r="P126" s="1" t="n"/>
      <c r="Q126" s="1" t="n"/>
      <c r="R126" s="120">
        <f>IF(D126&lt;&gt;"",IF(MONTH(D126)=MONTH(TODAY()),"🎂 Este mês!",""),"")</f>
        <v/>
      </c>
      <c r="S126" s="1" t="n"/>
    </row>
    <row r="127">
      <c r="A127" s="1" t="n"/>
      <c r="B127" s="1" t="n"/>
      <c r="C127" s="1" t="n"/>
      <c r="D127" s="104" t="n"/>
      <c r="E127" s="1" t="n"/>
      <c r="F127" s="1" t="n"/>
      <c r="G127" s="1" t="n"/>
      <c r="H127" s="104" t="n"/>
      <c r="I127" s="104" t="n"/>
      <c r="J127" s="1" t="n"/>
      <c r="K127" s="1" t="n"/>
      <c r="L127" s="111" t="n"/>
      <c r="M127" s="1" t="n"/>
      <c r="N127" s="112">
        <f>IF(AND(L127&lt;&gt;"",F127&gt;0),L127/F127,"")</f>
        <v/>
      </c>
      <c r="O127" s="1" t="n"/>
      <c r="P127" s="1" t="n"/>
      <c r="Q127" s="1" t="n"/>
      <c r="R127" s="120">
        <f>IF(D127&lt;&gt;"",IF(MONTH(D127)=MONTH(TODAY()),"🎂 Este mês!",""),"")</f>
        <v/>
      </c>
      <c r="S127" s="1" t="n"/>
    </row>
    <row r="128">
      <c r="A128" s="1" t="n"/>
      <c r="B128" s="1" t="n"/>
      <c r="C128" s="1" t="n"/>
      <c r="D128" s="104" t="n"/>
      <c r="E128" s="1" t="n"/>
      <c r="F128" s="1" t="n"/>
      <c r="G128" s="1" t="n"/>
      <c r="H128" s="104" t="n"/>
      <c r="I128" s="104" t="n"/>
      <c r="J128" s="1" t="n"/>
      <c r="K128" s="1" t="n"/>
      <c r="L128" s="111" t="n"/>
      <c r="M128" s="1" t="n"/>
      <c r="N128" s="112">
        <f>IF(AND(L128&lt;&gt;"",F128&gt;0),L128/F128,"")</f>
        <v/>
      </c>
      <c r="O128" s="1" t="n"/>
      <c r="P128" s="1" t="n"/>
      <c r="Q128" s="1" t="n"/>
      <c r="R128" s="120">
        <f>IF(D128&lt;&gt;"",IF(MONTH(D128)=MONTH(TODAY()),"🎂 Este mês!",""),"")</f>
        <v/>
      </c>
      <c r="S128" s="1" t="n"/>
    </row>
    <row r="129">
      <c r="A129" s="1" t="n"/>
      <c r="B129" s="1" t="n"/>
      <c r="C129" s="1" t="n"/>
      <c r="D129" s="104" t="n"/>
      <c r="E129" s="1" t="n"/>
      <c r="F129" s="1" t="n"/>
      <c r="G129" s="1" t="n"/>
      <c r="H129" s="104" t="n"/>
      <c r="I129" s="104" t="n"/>
      <c r="J129" s="1" t="n"/>
      <c r="K129" s="1" t="n"/>
      <c r="L129" s="111" t="n"/>
      <c r="M129" s="1" t="n"/>
      <c r="N129" s="112">
        <f>IF(AND(L129&lt;&gt;"",F129&gt;0),L129/F129,"")</f>
        <v/>
      </c>
      <c r="O129" s="1" t="n"/>
      <c r="P129" s="1" t="n"/>
      <c r="Q129" s="1" t="n"/>
      <c r="R129" s="120">
        <f>IF(D129&lt;&gt;"",IF(MONTH(D129)=MONTH(TODAY()),"🎂 Este mês!",""),"")</f>
        <v/>
      </c>
      <c r="S129" s="1" t="n"/>
    </row>
    <row r="130">
      <c r="A130" s="1" t="n"/>
      <c r="B130" s="1" t="n"/>
      <c r="C130" s="1" t="n"/>
      <c r="D130" s="104" t="n"/>
      <c r="E130" s="1" t="n"/>
      <c r="F130" s="1" t="n"/>
      <c r="G130" s="1" t="n"/>
      <c r="H130" s="104" t="n"/>
      <c r="I130" s="104" t="n"/>
      <c r="J130" s="1" t="n"/>
      <c r="K130" s="1" t="n"/>
      <c r="L130" s="111" t="n"/>
      <c r="M130" s="1" t="n"/>
      <c r="N130" s="112">
        <f>IF(AND(L130&lt;&gt;"",F130&gt;0),L130/F130,"")</f>
        <v/>
      </c>
      <c r="O130" s="1" t="n"/>
      <c r="P130" s="1" t="n"/>
      <c r="Q130" s="1" t="n"/>
      <c r="R130" s="120">
        <f>IF(D130&lt;&gt;"",IF(MONTH(D130)=MONTH(TODAY()),"🎂 Este mês!",""),"")</f>
        <v/>
      </c>
      <c r="S130" s="1" t="n"/>
    </row>
    <row r="131">
      <c r="A131" s="1" t="n"/>
      <c r="B131" s="1" t="n"/>
      <c r="C131" s="1" t="n"/>
      <c r="D131" s="104" t="n"/>
      <c r="E131" s="1" t="n"/>
      <c r="F131" s="1" t="n"/>
      <c r="G131" s="1" t="n"/>
      <c r="H131" s="104" t="n"/>
      <c r="I131" s="104" t="n"/>
      <c r="J131" s="1" t="n"/>
      <c r="K131" s="1" t="n"/>
      <c r="L131" s="111" t="n"/>
      <c r="M131" s="1" t="n"/>
      <c r="N131" s="112">
        <f>IF(AND(L131&lt;&gt;"",F131&gt;0),L131/F131,"")</f>
        <v/>
      </c>
      <c r="O131" s="1" t="n"/>
      <c r="P131" s="1" t="n"/>
      <c r="Q131" s="1" t="n"/>
      <c r="R131" s="120">
        <f>IF(D131&lt;&gt;"",IF(MONTH(D131)=MONTH(TODAY()),"🎂 Este mês!",""),"")</f>
        <v/>
      </c>
      <c r="S131" s="1" t="n"/>
    </row>
    <row r="132">
      <c r="A132" s="1" t="n"/>
      <c r="B132" s="1" t="n"/>
      <c r="C132" s="1" t="n"/>
      <c r="D132" s="104" t="n"/>
      <c r="E132" s="1" t="n"/>
      <c r="F132" s="1" t="n"/>
      <c r="G132" s="1" t="n"/>
      <c r="H132" s="104" t="n"/>
      <c r="I132" s="104" t="n"/>
      <c r="J132" s="1" t="n"/>
      <c r="K132" s="1" t="n"/>
      <c r="L132" s="111" t="n"/>
      <c r="M132" s="1" t="n"/>
      <c r="N132" s="112">
        <f>IF(AND(L132&lt;&gt;"",F132&gt;0),L132/F132,"")</f>
        <v/>
      </c>
      <c r="O132" s="1" t="n"/>
      <c r="P132" s="1" t="n"/>
      <c r="Q132" s="1" t="n"/>
      <c r="R132" s="120">
        <f>IF(D132&lt;&gt;"",IF(MONTH(D132)=MONTH(TODAY()),"🎂 Este mês!",""),"")</f>
        <v/>
      </c>
      <c r="S132" s="1" t="n"/>
    </row>
    <row r="133">
      <c r="A133" s="1" t="n"/>
      <c r="B133" s="1" t="n"/>
      <c r="C133" s="1" t="n"/>
      <c r="D133" s="104" t="n"/>
      <c r="E133" s="1" t="n"/>
      <c r="F133" s="1" t="n"/>
      <c r="G133" s="1" t="n"/>
      <c r="H133" s="104" t="n"/>
      <c r="I133" s="104" t="n"/>
      <c r="J133" s="1" t="n"/>
      <c r="K133" s="1" t="n"/>
      <c r="L133" s="111" t="n"/>
      <c r="M133" s="1" t="n"/>
      <c r="N133" s="112">
        <f>IF(AND(L133&lt;&gt;"",F133&gt;0),L133/F133,"")</f>
        <v/>
      </c>
      <c r="O133" s="1" t="n"/>
      <c r="P133" s="1" t="n"/>
      <c r="Q133" s="1" t="n"/>
      <c r="R133" s="120">
        <f>IF(D133&lt;&gt;"",IF(MONTH(D133)=MONTH(TODAY()),"🎂 Este mês!",""),"")</f>
        <v/>
      </c>
      <c r="S133" s="1" t="n"/>
    </row>
    <row r="134">
      <c r="A134" s="1" t="n"/>
      <c r="B134" s="1" t="n"/>
      <c r="C134" s="1" t="n"/>
      <c r="D134" s="104" t="n"/>
      <c r="E134" s="1" t="n"/>
      <c r="F134" s="1" t="n"/>
      <c r="G134" s="1" t="n"/>
      <c r="H134" s="104" t="n"/>
      <c r="I134" s="104" t="n"/>
      <c r="J134" s="1" t="n"/>
      <c r="K134" s="1" t="n"/>
      <c r="L134" s="111" t="n"/>
      <c r="M134" s="1" t="n"/>
      <c r="N134" s="112">
        <f>IF(AND(L134&lt;&gt;"",F134&gt;0),L134/F134,"")</f>
        <v/>
      </c>
      <c r="O134" s="1" t="n"/>
      <c r="P134" s="1" t="n"/>
      <c r="Q134" s="1" t="n"/>
      <c r="R134" s="120">
        <f>IF(D134&lt;&gt;"",IF(MONTH(D134)=MONTH(TODAY()),"🎂 Este mês!",""),"")</f>
        <v/>
      </c>
      <c r="S134" s="1" t="n"/>
    </row>
    <row r="135">
      <c r="A135" s="1" t="n"/>
      <c r="B135" s="1" t="n"/>
      <c r="C135" s="1" t="n"/>
      <c r="D135" s="104" t="n"/>
      <c r="E135" s="1" t="n"/>
      <c r="F135" s="1" t="n"/>
      <c r="G135" s="1" t="n"/>
      <c r="H135" s="104" t="n"/>
      <c r="I135" s="104" t="n"/>
      <c r="J135" s="1" t="n"/>
      <c r="K135" s="1" t="n"/>
      <c r="L135" s="111" t="n"/>
      <c r="M135" s="1" t="n"/>
      <c r="N135" s="112">
        <f>IF(AND(L135&lt;&gt;"",F135&gt;0),L135/F135,"")</f>
        <v/>
      </c>
      <c r="O135" s="1" t="n"/>
      <c r="P135" s="1" t="n"/>
      <c r="Q135" s="1" t="n"/>
      <c r="R135" s="120">
        <f>IF(D135&lt;&gt;"",IF(MONTH(D135)=MONTH(TODAY()),"🎂 Este mês!",""),"")</f>
        <v/>
      </c>
      <c r="S135" s="1" t="n"/>
    </row>
    <row r="136">
      <c r="A136" s="1" t="n"/>
      <c r="B136" s="1" t="n"/>
      <c r="C136" s="1" t="n"/>
      <c r="D136" s="104" t="n"/>
      <c r="E136" s="1" t="n"/>
      <c r="F136" s="1" t="n"/>
      <c r="G136" s="1" t="n"/>
      <c r="H136" s="104" t="n"/>
      <c r="I136" s="104" t="n"/>
      <c r="J136" s="1" t="n"/>
      <c r="K136" s="1" t="n"/>
      <c r="L136" s="111" t="n"/>
      <c r="M136" s="1" t="n"/>
      <c r="N136" s="112">
        <f>IF(AND(L136&lt;&gt;"",F136&gt;0),L136/F136,"")</f>
        <v/>
      </c>
      <c r="O136" s="1" t="n"/>
      <c r="P136" s="1" t="n"/>
      <c r="Q136" s="1" t="n"/>
      <c r="R136" s="120">
        <f>IF(D136&lt;&gt;"",IF(MONTH(D136)=MONTH(TODAY()),"🎂 Este mês!",""),"")</f>
        <v/>
      </c>
      <c r="S136" s="1" t="n"/>
    </row>
    <row r="137">
      <c r="A137" s="1" t="n"/>
      <c r="B137" s="1" t="n"/>
      <c r="C137" s="1" t="n"/>
      <c r="D137" s="104" t="n"/>
      <c r="E137" s="1" t="n"/>
      <c r="F137" s="1" t="n"/>
      <c r="G137" s="1" t="n"/>
      <c r="H137" s="104" t="n"/>
      <c r="I137" s="104" t="n"/>
      <c r="J137" s="1" t="n"/>
      <c r="K137" s="1" t="n"/>
      <c r="L137" s="111" t="n"/>
      <c r="M137" s="1" t="n"/>
      <c r="N137" s="112">
        <f>IF(AND(L137&lt;&gt;"",F137&gt;0),L137/F137,"")</f>
        <v/>
      </c>
      <c r="O137" s="1" t="n"/>
      <c r="P137" s="1" t="n"/>
      <c r="Q137" s="1" t="n"/>
      <c r="R137" s="120">
        <f>IF(D137&lt;&gt;"",IF(MONTH(D137)=MONTH(TODAY()),"🎂 Este mês!",""),"")</f>
        <v/>
      </c>
      <c r="S137" s="1" t="n"/>
    </row>
    <row r="138">
      <c r="A138" s="1" t="n"/>
      <c r="B138" s="1" t="n"/>
      <c r="C138" s="1" t="n"/>
      <c r="D138" s="104" t="n"/>
      <c r="E138" s="1" t="n"/>
      <c r="F138" s="1" t="n"/>
      <c r="G138" s="1" t="n"/>
      <c r="H138" s="104" t="n"/>
      <c r="I138" s="104" t="n"/>
      <c r="J138" s="1" t="n"/>
      <c r="K138" s="1" t="n"/>
      <c r="L138" s="111" t="n"/>
      <c r="M138" s="1" t="n"/>
      <c r="N138" s="112">
        <f>IF(AND(L138&lt;&gt;"",F138&gt;0),L138/F138,"")</f>
        <v/>
      </c>
      <c r="O138" s="1" t="n"/>
      <c r="P138" s="1" t="n"/>
      <c r="Q138" s="1" t="n"/>
      <c r="R138" s="120">
        <f>IF(D138&lt;&gt;"",IF(MONTH(D138)=MONTH(TODAY()),"🎂 Este mês!",""),"")</f>
        <v/>
      </c>
      <c r="S138" s="1" t="n"/>
    </row>
    <row r="139">
      <c r="A139" s="1" t="n"/>
      <c r="B139" s="1" t="n"/>
      <c r="C139" s="1" t="n"/>
      <c r="D139" s="104" t="n"/>
      <c r="E139" s="1" t="n"/>
      <c r="F139" s="1" t="n"/>
      <c r="G139" s="1" t="n"/>
      <c r="H139" s="104" t="n"/>
      <c r="I139" s="104" t="n"/>
      <c r="J139" s="1" t="n"/>
      <c r="K139" s="1" t="n"/>
      <c r="L139" s="111" t="n"/>
      <c r="M139" s="1" t="n"/>
      <c r="N139" s="112">
        <f>IF(AND(L139&lt;&gt;"",F139&gt;0),L139/F139,"")</f>
        <v/>
      </c>
      <c r="O139" s="1" t="n"/>
      <c r="P139" s="1" t="n"/>
      <c r="Q139" s="1" t="n"/>
      <c r="R139" s="120">
        <f>IF(D139&lt;&gt;"",IF(MONTH(D139)=MONTH(TODAY()),"🎂 Este mês!",""),"")</f>
        <v/>
      </c>
      <c r="S139" s="1" t="n"/>
    </row>
    <row r="140">
      <c r="A140" s="1" t="n"/>
      <c r="B140" s="1" t="n"/>
      <c r="C140" s="1" t="n"/>
      <c r="D140" s="104" t="n"/>
      <c r="E140" s="1" t="n"/>
      <c r="F140" s="1" t="n"/>
      <c r="G140" s="1" t="n"/>
      <c r="H140" s="104" t="n"/>
      <c r="I140" s="104" t="n"/>
      <c r="J140" s="1" t="n"/>
      <c r="K140" s="1" t="n"/>
      <c r="L140" s="111" t="n"/>
      <c r="M140" s="1" t="n"/>
      <c r="N140" s="112">
        <f>IF(AND(L140&lt;&gt;"",F140&gt;0),L140/F140,"")</f>
        <v/>
      </c>
      <c r="O140" s="1" t="n"/>
      <c r="P140" s="1" t="n"/>
      <c r="Q140" s="1" t="n"/>
      <c r="R140" s="120">
        <f>IF(D140&lt;&gt;"",IF(MONTH(D140)=MONTH(TODAY()),"🎂 Este mês!",""),"")</f>
        <v/>
      </c>
      <c r="S140" s="1" t="n"/>
    </row>
    <row r="141">
      <c r="A141" s="1" t="n"/>
      <c r="B141" s="1" t="n"/>
      <c r="C141" s="1" t="n"/>
      <c r="D141" s="104" t="n"/>
      <c r="E141" s="1" t="n"/>
      <c r="F141" s="1" t="n"/>
      <c r="G141" s="1" t="n"/>
      <c r="H141" s="104" t="n"/>
      <c r="I141" s="104" t="n"/>
      <c r="J141" s="1" t="n"/>
      <c r="K141" s="1" t="n"/>
      <c r="L141" s="111" t="n"/>
      <c r="M141" s="1" t="n"/>
      <c r="N141" s="112">
        <f>IF(AND(L141&lt;&gt;"",F141&gt;0),L141/F141,"")</f>
        <v/>
      </c>
      <c r="O141" s="1" t="n"/>
      <c r="P141" s="1" t="n"/>
      <c r="Q141" s="1" t="n"/>
      <c r="R141" s="120">
        <f>IF(D141&lt;&gt;"",IF(MONTH(D141)=MONTH(TODAY()),"🎂 Este mês!",""),"")</f>
        <v/>
      </c>
      <c r="S141" s="1" t="n"/>
    </row>
    <row r="142">
      <c r="A142" s="1" t="n"/>
      <c r="B142" s="1" t="n"/>
      <c r="C142" s="1" t="n"/>
      <c r="D142" s="104" t="n"/>
      <c r="E142" s="1" t="n"/>
      <c r="F142" s="1" t="n"/>
      <c r="G142" s="1" t="n"/>
      <c r="H142" s="104" t="n"/>
      <c r="I142" s="104" t="n"/>
      <c r="J142" s="1" t="n"/>
      <c r="K142" s="1" t="n"/>
      <c r="L142" s="111" t="n"/>
      <c r="M142" s="1" t="n"/>
      <c r="N142" s="112">
        <f>IF(AND(L142&lt;&gt;"",F142&gt;0),L142/F142,"")</f>
        <v/>
      </c>
      <c r="O142" s="1" t="n"/>
      <c r="P142" s="1" t="n"/>
      <c r="Q142" s="1" t="n"/>
      <c r="R142" s="120">
        <f>IF(D142&lt;&gt;"",IF(MONTH(D142)=MONTH(TODAY()),"🎂 Este mês!",""),"")</f>
        <v/>
      </c>
      <c r="S142" s="1" t="n"/>
    </row>
    <row r="143">
      <c r="A143" s="1" t="n"/>
      <c r="B143" s="1" t="n"/>
      <c r="C143" s="1" t="n"/>
      <c r="D143" s="104" t="n"/>
      <c r="E143" s="1" t="n"/>
      <c r="F143" s="1" t="n"/>
      <c r="G143" s="1" t="n"/>
      <c r="H143" s="104" t="n"/>
      <c r="I143" s="104" t="n"/>
      <c r="J143" s="1" t="n"/>
      <c r="K143" s="1" t="n"/>
      <c r="L143" s="111" t="n"/>
      <c r="M143" s="1" t="n"/>
      <c r="N143" s="112">
        <f>IF(AND(L143&lt;&gt;"",F143&gt;0),L143/F143,"")</f>
        <v/>
      </c>
      <c r="O143" s="1" t="n"/>
      <c r="P143" s="1" t="n"/>
      <c r="Q143" s="1" t="n"/>
      <c r="R143" s="120">
        <f>IF(D143&lt;&gt;"",IF(MONTH(D143)=MONTH(TODAY()),"🎂 Este mês!",""),"")</f>
        <v/>
      </c>
      <c r="S143" s="1" t="n"/>
    </row>
    <row r="144">
      <c r="A144" s="1" t="n"/>
      <c r="B144" s="1" t="n"/>
      <c r="C144" s="1" t="n"/>
      <c r="D144" s="104" t="n"/>
      <c r="E144" s="1" t="n"/>
      <c r="F144" s="1" t="n"/>
      <c r="G144" s="1" t="n"/>
      <c r="H144" s="104" t="n"/>
      <c r="I144" s="104" t="n"/>
      <c r="J144" s="1" t="n"/>
      <c r="K144" s="1" t="n"/>
      <c r="L144" s="111" t="n"/>
      <c r="M144" s="1" t="n"/>
      <c r="N144" s="112">
        <f>IF(AND(L144&lt;&gt;"",F144&gt;0),L144/F144,"")</f>
        <v/>
      </c>
      <c r="O144" s="1" t="n"/>
      <c r="P144" s="1" t="n"/>
      <c r="Q144" s="1" t="n"/>
      <c r="R144" s="120">
        <f>IF(D144&lt;&gt;"",IF(MONTH(D144)=MONTH(TODAY()),"🎂 Este mês!",""),"")</f>
        <v/>
      </c>
      <c r="S144" s="1" t="n"/>
    </row>
    <row r="145">
      <c r="A145" s="1" t="n"/>
      <c r="B145" s="1" t="n"/>
      <c r="C145" s="1" t="n"/>
      <c r="D145" s="104" t="n"/>
      <c r="E145" s="1" t="n"/>
      <c r="F145" s="1" t="n"/>
      <c r="G145" s="1" t="n"/>
      <c r="H145" s="104" t="n"/>
      <c r="I145" s="104" t="n"/>
      <c r="J145" s="1" t="n"/>
      <c r="K145" s="1" t="n"/>
      <c r="L145" s="111" t="n"/>
      <c r="M145" s="1" t="n"/>
      <c r="N145" s="112">
        <f>IF(AND(L145&lt;&gt;"",F145&gt;0),L145/F145,"")</f>
        <v/>
      </c>
      <c r="O145" s="1" t="n"/>
      <c r="P145" s="1" t="n"/>
      <c r="Q145" s="1" t="n"/>
      <c r="R145" s="120">
        <f>IF(D145&lt;&gt;"",IF(MONTH(D145)=MONTH(TODAY()),"🎂 Este mês!",""),"")</f>
        <v/>
      </c>
      <c r="S145" s="1" t="n"/>
    </row>
    <row r="146">
      <c r="A146" s="1" t="n"/>
      <c r="B146" s="1" t="n"/>
      <c r="C146" s="1" t="n"/>
      <c r="D146" s="104" t="n"/>
      <c r="E146" s="1" t="n"/>
      <c r="F146" s="1" t="n"/>
      <c r="G146" s="1" t="n"/>
      <c r="H146" s="104" t="n"/>
      <c r="I146" s="104" t="n"/>
      <c r="J146" s="1" t="n"/>
      <c r="K146" s="1" t="n"/>
      <c r="L146" s="111" t="n"/>
      <c r="M146" s="1" t="n"/>
      <c r="N146" s="112">
        <f>IF(AND(L146&lt;&gt;"",F146&gt;0),L146/F146,"")</f>
        <v/>
      </c>
      <c r="O146" s="1" t="n"/>
      <c r="P146" s="1" t="n"/>
      <c r="Q146" s="1" t="n"/>
      <c r="R146" s="120">
        <f>IF(D146&lt;&gt;"",IF(MONTH(D146)=MONTH(TODAY()),"🎂 Este mês!",""),"")</f>
        <v/>
      </c>
      <c r="S146" s="1" t="n"/>
    </row>
    <row r="147">
      <c r="A147" s="1" t="n"/>
      <c r="B147" s="1" t="n"/>
      <c r="C147" s="1" t="n"/>
      <c r="D147" s="104" t="n"/>
      <c r="E147" s="1" t="n"/>
      <c r="F147" s="1" t="n"/>
      <c r="G147" s="1" t="n"/>
      <c r="H147" s="104" t="n"/>
      <c r="I147" s="104" t="n"/>
      <c r="J147" s="1" t="n"/>
      <c r="K147" s="1" t="n"/>
      <c r="L147" s="111" t="n"/>
      <c r="M147" s="1" t="n"/>
      <c r="N147" s="112">
        <f>IF(AND(L147&lt;&gt;"",F147&gt;0),L147/F147,"")</f>
        <v/>
      </c>
      <c r="O147" s="1" t="n"/>
      <c r="P147" s="1" t="n"/>
      <c r="Q147" s="1" t="n"/>
      <c r="R147" s="120">
        <f>IF(D147&lt;&gt;"",IF(MONTH(D147)=MONTH(TODAY()),"🎂 Este mês!",""),"")</f>
        <v/>
      </c>
      <c r="S147" s="1" t="n"/>
    </row>
    <row r="148">
      <c r="A148" s="1" t="n"/>
      <c r="B148" s="1" t="n"/>
      <c r="C148" s="1" t="n"/>
      <c r="D148" s="104" t="n"/>
      <c r="E148" s="1" t="n"/>
      <c r="F148" s="1" t="n"/>
      <c r="G148" s="1" t="n"/>
      <c r="H148" s="104" t="n"/>
      <c r="I148" s="104" t="n"/>
      <c r="J148" s="1" t="n"/>
      <c r="K148" s="1" t="n"/>
      <c r="L148" s="111" t="n"/>
      <c r="M148" s="1" t="n"/>
      <c r="N148" s="112">
        <f>IF(AND(L148&lt;&gt;"",F148&gt;0),L148/F148,"")</f>
        <v/>
      </c>
      <c r="O148" s="1" t="n"/>
      <c r="P148" s="1" t="n"/>
      <c r="Q148" s="1" t="n"/>
      <c r="R148" s="120">
        <f>IF(D148&lt;&gt;"",IF(MONTH(D148)=MONTH(TODAY()),"🎂 Este mês!",""),"")</f>
        <v/>
      </c>
      <c r="S148" s="1" t="n"/>
    </row>
    <row r="149">
      <c r="A149" s="1" t="n"/>
      <c r="B149" s="1" t="n"/>
      <c r="C149" s="1" t="n"/>
      <c r="D149" s="104" t="n"/>
      <c r="E149" s="1" t="n"/>
      <c r="F149" s="1" t="n"/>
      <c r="G149" s="1" t="n"/>
      <c r="H149" s="104" t="n"/>
      <c r="I149" s="104" t="n"/>
      <c r="J149" s="1" t="n"/>
      <c r="K149" s="1" t="n"/>
      <c r="L149" s="111" t="n"/>
      <c r="M149" s="1" t="n"/>
      <c r="N149" s="112">
        <f>IF(AND(L149&lt;&gt;"",F149&gt;0),L149/F149,"")</f>
        <v/>
      </c>
      <c r="O149" s="1" t="n"/>
      <c r="P149" s="1" t="n"/>
      <c r="Q149" s="1" t="n"/>
      <c r="R149" s="120">
        <f>IF(D149&lt;&gt;"",IF(MONTH(D149)=MONTH(TODAY()),"🎂 Este mês!",""),"")</f>
        <v/>
      </c>
      <c r="S149" s="1" t="n"/>
    </row>
    <row r="150">
      <c r="A150" s="1" t="n"/>
      <c r="B150" s="1" t="n"/>
      <c r="C150" s="1" t="n"/>
      <c r="D150" s="104" t="n"/>
      <c r="E150" s="1" t="n"/>
      <c r="F150" s="1" t="n"/>
      <c r="G150" s="1" t="n"/>
      <c r="H150" s="104" t="n"/>
      <c r="I150" s="104" t="n"/>
      <c r="J150" s="1" t="n"/>
      <c r="K150" s="1" t="n"/>
      <c r="L150" s="111" t="n"/>
      <c r="M150" s="1" t="n"/>
      <c r="N150" s="112">
        <f>IF(AND(L150&lt;&gt;"",F150&gt;0),L150/F150,"")</f>
        <v/>
      </c>
      <c r="O150" s="1" t="n"/>
      <c r="P150" s="1" t="n"/>
      <c r="Q150" s="1" t="n"/>
      <c r="R150" s="120">
        <f>IF(D150&lt;&gt;"",IF(MONTH(D150)=MONTH(TODAY()),"🎂 Este mês!",""),"")</f>
        <v/>
      </c>
      <c r="S150" s="1" t="n"/>
    </row>
    <row r="151">
      <c r="A151" s="1" t="n"/>
      <c r="B151" s="1" t="n"/>
      <c r="C151" s="1" t="n"/>
      <c r="D151" s="104" t="n"/>
      <c r="E151" s="1" t="n"/>
      <c r="F151" s="1" t="n"/>
      <c r="G151" s="1" t="n"/>
      <c r="H151" s="104" t="n"/>
      <c r="I151" s="104" t="n"/>
      <c r="J151" s="1" t="n"/>
      <c r="K151" s="1" t="n"/>
      <c r="L151" s="111" t="n"/>
      <c r="M151" s="1" t="n"/>
      <c r="N151" s="112">
        <f>IF(AND(L151&lt;&gt;"",F151&gt;0),L151/F151,"")</f>
        <v/>
      </c>
      <c r="O151" s="1" t="n"/>
      <c r="P151" s="1" t="n"/>
      <c r="Q151" s="1" t="n"/>
      <c r="R151" s="120">
        <f>IF(D151&lt;&gt;"",IF(MONTH(D151)=MONTH(TODAY()),"🎂 Este mês!",""),"")</f>
        <v/>
      </c>
      <c r="S151" s="1" t="n"/>
    </row>
    <row r="152">
      <c r="A152" s="1" t="n"/>
      <c r="B152" s="1" t="n"/>
      <c r="C152" s="1" t="n"/>
      <c r="D152" s="104" t="n"/>
      <c r="E152" s="1" t="n"/>
      <c r="F152" s="1" t="n"/>
      <c r="G152" s="1" t="n"/>
      <c r="H152" s="104" t="n"/>
      <c r="I152" s="104" t="n"/>
      <c r="J152" s="1" t="n"/>
      <c r="K152" s="1" t="n"/>
      <c r="L152" s="111" t="n"/>
      <c r="M152" s="1" t="n"/>
      <c r="N152" s="112">
        <f>IF(AND(L152&lt;&gt;"",F152&gt;0),L152/F152,"")</f>
        <v/>
      </c>
      <c r="O152" s="1" t="n"/>
      <c r="P152" s="1" t="n"/>
      <c r="Q152" s="1" t="n"/>
      <c r="R152" s="120">
        <f>IF(D152&lt;&gt;"",IF(MONTH(D152)=MONTH(TODAY()),"🎂 Este mês!",""),"")</f>
        <v/>
      </c>
      <c r="S152" s="1" t="n"/>
    </row>
    <row r="153">
      <c r="A153" s="1" t="n"/>
      <c r="B153" s="1" t="n"/>
      <c r="C153" s="1" t="n"/>
      <c r="D153" s="104" t="n"/>
      <c r="E153" s="1" t="n"/>
      <c r="F153" s="1" t="n"/>
      <c r="G153" s="1" t="n"/>
      <c r="H153" s="104" t="n"/>
      <c r="I153" s="104" t="n"/>
      <c r="J153" s="1" t="n"/>
      <c r="K153" s="1" t="n"/>
      <c r="L153" s="111" t="n"/>
      <c r="M153" s="1" t="n"/>
      <c r="N153" s="112">
        <f>IF(AND(L153&lt;&gt;"",F153&gt;0),L153/F153,"")</f>
        <v/>
      </c>
      <c r="O153" s="1" t="n"/>
      <c r="P153" s="1" t="n"/>
      <c r="Q153" s="1" t="n"/>
      <c r="R153" s="120">
        <f>IF(D153&lt;&gt;"",IF(MONTH(D153)=MONTH(TODAY()),"🎂 Este mês!",""),"")</f>
        <v/>
      </c>
      <c r="S153" s="1" t="n"/>
    </row>
    <row r="154">
      <c r="A154" s="1" t="n"/>
      <c r="B154" s="1" t="n"/>
      <c r="C154" s="1" t="n"/>
      <c r="D154" s="104" t="n"/>
      <c r="E154" s="1" t="n"/>
      <c r="F154" s="1" t="n"/>
      <c r="G154" s="1" t="n"/>
      <c r="H154" s="104" t="n"/>
      <c r="I154" s="104" t="n"/>
      <c r="J154" s="1" t="n"/>
      <c r="K154" s="1" t="n"/>
      <c r="L154" s="111" t="n"/>
      <c r="M154" s="1" t="n"/>
      <c r="N154" s="112">
        <f>IF(AND(L154&lt;&gt;"",F154&gt;0),L154/F154,"")</f>
        <v/>
      </c>
      <c r="O154" s="1" t="n"/>
      <c r="P154" s="1" t="n"/>
      <c r="Q154" s="1" t="n"/>
      <c r="R154" s="120">
        <f>IF(D154&lt;&gt;"",IF(MONTH(D154)=MONTH(TODAY()),"🎂 Este mês!",""),"")</f>
        <v/>
      </c>
      <c r="S154" s="1" t="n"/>
    </row>
    <row r="155">
      <c r="A155" s="1" t="n"/>
      <c r="B155" s="1" t="n"/>
      <c r="C155" s="1" t="n"/>
      <c r="D155" s="104" t="n"/>
      <c r="E155" s="1" t="n"/>
      <c r="F155" s="1" t="n"/>
      <c r="G155" s="1" t="n"/>
      <c r="H155" s="104" t="n"/>
      <c r="I155" s="104" t="n"/>
      <c r="J155" s="1" t="n"/>
      <c r="K155" s="1" t="n"/>
      <c r="L155" s="111" t="n"/>
      <c r="M155" s="1" t="n"/>
      <c r="N155" s="112">
        <f>IF(AND(L155&lt;&gt;"",F155&gt;0),L155/F155,"")</f>
        <v/>
      </c>
      <c r="O155" s="1" t="n"/>
      <c r="P155" s="1" t="n"/>
      <c r="Q155" s="1" t="n"/>
      <c r="R155" s="120">
        <f>IF(D155&lt;&gt;"",IF(MONTH(D155)=MONTH(TODAY()),"🎂 Este mês!",""),"")</f>
        <v/>
      </c>
      <c r="S155" s="1" t="n"/>
    </row>
    <row r="156">
      <c r="A156" s="1" t="n"/>
      <c r="B156" s="1" t="n"/>
      <c r="C156" s="1" t="n"/>
      <c r="D156" s="104" t="n"/>
      <c r="E156" s="1" t="n"/>
      <c r="F156" s="1" t="n"/>
      <c r="G156" s="1" t="n"/>
      <c r="H156" s="104" t="n"/>
      <c r="I156" s="104" t="n"/>
      <c r="J156" s="1" t="n"/>
      <c r="K156" s="1" t="n"/>
      <c r="L156" s="111" t="n"/>
      <c r="M156" s="1" t="n"/>
      <c r="N156" s="112">
        <f>IF(AND(L156&lt;&gt;"",F156&gt;0),L156/F156,"")</f>
        <v/>
      </c>
      <c r="O156" s="1" t="n"/>
      <c r="P156" s="1" t="n"/>
      <c r="Q156" s="1" t="n"/>
      <c r="R156" s="120">
        <f>IF(D156&lt;&gt;"",IF(MONTH(D156)=MONTH(TODAY()),"🎂 Este mês!",""),"")</f>
        <v/>
      </c>
      <c r="S156" s="1" t="n"/>
    </row>
    <row r="157">
      <c r="A157" s="1" t="n"/>
      <c r="B157" s="1" t="n"/>
      <c r="C157" s="1" t="n"/>
      <c r="D157" s="104" t="n"/>
      <c r="E157" s="1" t="n"/>
      <c r="F157" s="1" t="n"/>
      <c r="G157" s="1" t="n"/>
      <c r="H157" s="104" t="n"/>
      <c r="I157" s="104" t="n"/>
      <c r="J157" s="1" t="n"/>
      <c r="K157" s="1" t="n"/>
      <c r="L157" s="111" t="n"/>
      <c r="M157" s="1" t="n"/>
      <c r="N157" s="112">
        <f>IF(AND(L157&lt;&gt;"",F157&gt;0),L157/F157,"")</f>
        <v/>
      </c>
      <c r="O157" s="1" t="n"/>
      <c r="P157" s="1" t="n"/>
      <c r="Q157" s="1" t="n"/>
      <c r="R157" s="120">
        <f>IF(D157&lt;&gt;"",IF(MONTH(D157)=MONTH(TODAY()),"🎂 Este mês!",""),"")</f>
        <v/>
      </c>
      <c r="S157" s="1" t="n"/>
    </row>
    <row r="158">
      <c r="A158" s="1" t="n"/>
      <c r="B158" s="1" t="n"/>
      <c r="C158" s="1" t="n"/>
      <c r="D158" s="104" t="n"/>
      <c r="E158" s="1" t="n"/>
      <c r="F158" s="1" t="n"/>
      <c r="G158" s="1" t="n"/>
      <c r="H158" s="104" t="n"/>
      <c r="I158" s="104" t="n"/>
      <c r="J158" s="1" t="n"/>
      <c r="K158" s="1" t="n"/>
      <c r="L158" s="111" t="n"/>
      <c r="M158" s="1" t="n"/>
      <c r="N158" s="112">
        <f>IF(AND(L158&lt;&gt;"",F158&gt;0),L158/F158,"")</f>
        <v/>
      </c>
      <c r="O158" s="1" t="n"/>
      <c r="P158" s="1" t="n"/>
      <c r="Q158" s="1" t="n"/>
      <c r="R158" s="120">
        <f>IF(D158&lt;&gt;"",IF(MONTH(D158)=MONTH(TODAY()),"🎂 Este mês!",""),"")</f>
        <v/>
      </c>
      <c r="S158" s="1" t="n"/>
    </row>
    <row r="159">
      <c r="A159" s="1" t="n"/>
      <c r="B159" s="1" t="n"/>
      <c r="C159" s="1" t="n"/>
      <c r="D159" s="104" t="n"/>
      <c r="E159" s="1" t="n"/>
      <c r="F159" s="1" t="n"/>
      <c r="G159" s="1" t="n"/>
      <c r="H159" s="104" t="n"/>
      <c r="I159" s="104" t="n"/>
      <c r="J159" s="1" t="n"/>
      <c r="K159" s="1" t="n"/>
      <c r="L159" s="111" t="n"/>
      <c r="M159" s="1" t="n"/>
      <c r="N159" s="112">
        <f>IF(AND(L159&lt;&gt;"",F159&gt;0),L159/F159,"")</f>
        <v/>
      </c>
      <c r="O159" s="1" t="n"/>
      <c r="P159" s="1" t="n"/>
      <c r="Q159" s="1" t="n"/>
      <c r="R159" s="120">
        <f>IF(D159&lt;&gt;"",IF(MONTH(D159)=MONTH(TODAY()),"🎂 Este mês!",""),"")</f>
        <v/>
      </c>
      <c r="S159" s="1" t="n"/>
    </row>
    <row r="160">
      <c r="A160" s="1" t="n"/>
      <c r="B160" s="1" t="n"/>
      <c r="C160" s="1" t="n"/>
      <c r="D160" s="104" t="n"/>
      <c r="E160" s="1" t="n"/>
      <c r="F160" s="1" t="n"/>
      <c r="G160" s="1" t="n"/>
      <c r="H160" s="104" t="n"/>
      <c r="I160" s="104" t="n"/>
      <c r="J160" s="1" t="n"/>
      <c r="K160" s="1" t="n"/>
      <c r="L160" s="111" t="n"/>
      <c r="M160" s="1" t="n"/>
      <c r="N160" s="112">
        <f>IF(AND(L160&lt;&gt;"",F160&gt;0),L160/F160,"")</f>
        <v/>
      </c>
      <c r="O160" s="1" t="n"/>
      <c r="P160" s="1" t="n"/>
      <c r="Q160" s="1" t="n"/>
      <c r="R160" s="120">
        <f>IF(D160&lt;&gt;"",IF(MONTH(D160)=MONTH(TODAY()),"🎂 Este mês!",""),"")</f>
        <v/>
      </c>
      <c r="S160" s="1" t="n"/>
    </row>
    <row r="161">
      <c r="A161" s="1" t="n"/>
      <c r="B161" s="1" t="n"/>
      <c r="C161" s="1" t="n"/>
      <c r="D161" s="104" t="n"/>
      <c r="E161" s="1" t="n"/>
      <c r="F161" s="1" t="n"/>
      <c r="G161" s="1" t="n"/>
      <c r="H161" s="104" t="n"/>
      <c r="I161" s="104" t="n"/>
      <c r="J161" s="1" t="n"/>
      <c r="K161" s="1" t="n"/>
      <c r="L161" s="111" t="n"/>
      <c r="M161" s="1" t="n"/>
      <c r="N161" s="112">
        <f>IF(AND(L161&lt;&gt;"",F161&gt;0),L161/F161,"")</f>
        <v/>
      </c>
      <c r="O161" s="1" t="n"/>
      <c r="P161" s="1" t="n"/>
      <c r="Q161" s="1" t="n"/>
      <c r="R161" s="120">
        <f>IF(D161&lt;&gt;"",IF(MONTH(D161)=MONTH(TODAY()),"🎂 Este mês!",""),"")</f>
        <v/>
      </c>
      <c r="S161" s="1" t="n"/>
    </row>
    <row r="162">
      <c r="A162" s="1" t="n"/>
      <c r="B162" s="1" t="n"/>
      <c r="C162" s="1" t="n"/>
      <c r="D162" s="104" t="n"/>
      <c r="E162" s="1" t="n"/>
      <c r="F162" s="1" t="n"/>
      <c r="G162" s="1" t="n"/>
      <c r="H162" s="104" t="n"/>
      <c r="I162" s="104" t="n"/>
      <c r="J162" s="1" t="n"/>
      <c r="K162" s="1" t="n"/>
      <c r="L162" s="111" t="n"/>
      <c r="M162" s="1" t="n"/>
      <c r="N162" s="112">
        <f>IF(AND(L162&lt;&gt;"",F162&gt;0),L162/F162,"")</f>
        <v/>
      </c>
      <c r="O162" s="1" t="n"/>
      <c r="P162" s="1" t="n"/>
      <c r="Q162" s="1" t="n"/>
      <c r="R162" s="120">
        <f>IF(D162&lt;&gt;"",IF(MONTH(D162)=MONTH(TODAY()),"🎂 Este mês!",""),"")</f>
        <v/>
      </c>
      <c r="S162" s="1" t="n"/>
    </row>
    <row r="163">
      <c r="A163" s="1" t="n"/>
      <c r="B163" s="1" t="n"/>
      <c r="C163" s="1" t="n"/>
      <c r="D163" s="104" t="n"/>
      <c r="E163" s="1" t="n"/>
      <c r="F163" s="1" t="n"/>
      <c r="G163" s="1" t="n"/>
      <c r="H163" s="104" t="n"/>
      <c r="I163" s="104" t="n"/>
      <c r="J163" s="1" t="n"/>
      <c r="K163" s="1" t="n"/>
      <c r="L163" s="111" t="n"/>
      <c r="M163" s="1" t="n"/>
      <c r="N163" s="112">
        <f>IF(AND(L163&lt;&gt;"",F163&gt;0),L163/F163,"")</f>
        <v/>
      </c>
      <c r="O163" s="1" t="n"/>
      <c r="P163" s="1" t="n"/>
      <c r="Q163" s="1" t="n"/>
      <c r="R163" s="120">
        <f>IF(D163&lt;&gt;"",IF(MONTH(D163)=MONTH(TODAY()),"🎂 Este mês!",""),"")</f>
        <v/>
      </c>
      <c r="S163" s="1" t="n"/>
    </row>
    <row r="164">
      <c r="A164" s="1" t="n"/>
      <c r="B164" s="1" t="n"/>
      <c r="C164" s="1" t="n"/>
      <c r="D164" s="104" t="n"/>
      <c r="E164" s="1" t="n"/>
      <c r="F164" s="1" t="n"/>
      <c r="G164" s="1" t="n"/>
      <c r="H164" s="104" t="n"/>
      <c r="I164" s="104" t="n"/>
      <c r="J164" s="1" t="n"/>
      <c r="K164" s="1" t="n"/>
      <c r="L164" s="111" t="n"/>
      <c r="M164" s="1" t="n"/>
      <c r="N164" s="112">
        <f>IF(AND(L164&lt;&gt;"",F164&gt;0),L164/F164,"")</f>
        <v/>
      </c>
      <c r="O164" s="1" t="n"/>
      <c r="P164" s="1" t="n"/>
      <c r="Q164" s="1" t="n"/>
      <c r="R164" s="120">
        <f>IF(D164&lt;&gt;"",IF(MONTH(D164)=MONTH(TODAY()),"🎂 Este mês!",""),"")</f>
        <v/>
      </c>
      <c r="S164" s="1" t="n"/>
    </row>
    <row r="165">
      <c r="A165" s="1" t="n"/>
      <c r="B165" s="1" t="n"/>
      <c r="C165" s="1" t="n"/>
      <c r="D165" s="104" t="n"/>
      <c r="E165" s="1" t="n"/>
      <c r="F165" s="1" t="n"/>
      <c r="G165" s="1" t="n"/>
      <c r="H165" s="104" t="n"/>
      <c r="I165" s="104" t="n"/>
      <c r="J165" s="1" t="n"/>
      <c r="K165" s="1" t="n"/>
      <c r="L165" s="111" t="n"/>
      <c r="M165" s="1" t="n"/>
      <c r="N165" s="112">
        <f>IF(AND(L165&lt;&gt;"",F165&gt;0),L165/F165,"")</f>
        <v/>
      </c>
      <c r="O165" s="1" t="n"/>
      <c r="P165" s="1" t="n"/>
      <c r="Q165" s="1" t="n"/>
      <c r="R165" s="120">
        <f>IF(D165&lt;&gt;"",IF(MONTH(D165)=MONTH(TODAY()),"🎂 Este mês!",""),"")</f>
        <v/>
      </c>
      <c r="S165" s="1" t="n"/>
    </row>
    <row r="166">
      <c r="A166" s="1" t="n"/>
      <c r="B166" s="1" t="n"/>
      <c r="C166" s="1" t="n"/>
      <c r="D166" s="104" t="n"/>
      <c r="E166" s="1" t="n"/>
      <c r="F166" s="1" t="n"/>
      <c r="G166" s="1" t="n"/>
      <c r="H166" s="104" t="n"/>
      <c r="I166" s="104" t="n"/>
      <c r="J166" s="1" t="n"/>
      <c r="K166" s="1" t="n"/>
      <c r="L166" s="111" t="n"/>
      <c r="M166" s="1" t="n"/>
      <c r="N166" s="112">
        <f>IF(AND(L166&lt;&gt;"",F166&gt;0),L166/F166,"")</f>
        <v/>
      </c>
      <c r="O166" s="1" t="n"/>
      <c r="P166" s="1" t="n"/>
      <c r="Q166" s="1" t="n"/>
      <c r="R166" s="120">
        <f>IF(D166&lt;&gt;"",IF(MONTH(D166)=MONTH(TODAY()),"🎂 Este mês!",""),"")</f>
        <v/>
      </c>
      <c r="S166" s="1" t="n"/>
    </row>
    <row r="167">
      <c r="A167" s="1" t="n"/>
      <c r="B167" s="1" t="n"/>
      <c r="C167" s="1" t="n"/>
      <c r="D167" s="104" t="n"/>
      <c r="E167" s="1" t="n"/>
      <c r="F167" s="1" t="n"/>
      <c r="G167" s="1" t="n"/>
      <c r="H167" s="104" t="n"/>
      <c r="I167" s="104" t="n"/>
      <c r="J167" s="1" t="n"/>
      <c r="K167" s="1" t="n"/>
      <c r="L167" s="111" t="n"/>
      <c r="M167" s="1" t="n"/>
      <c r="N167" s="112">
        <f>IF(AND(L167&lt;&gt;"",F167&gt;0),L167/F167,"")</f>
        <v/>
      </c>
      <c r="O167" s="1" t="n"/>
      <c r="P167" s="1" t="n"/>
      <c r="Q167" s="1" t="n"/>
      <c r="R167" s="120">
        <f>IF(D167&lt;&gt;"",IF(MONTH(D167)=MONTH(TODAY()),"🎂 Este mês!",""),"")</f>
        <v/>
      </c>
      <c r="S167" s="1" t="n"/>
    </row>
    <row r="168">
      <c r="A168" s="1" t="n"/>
      <c r="B168" s="1" t="n"/>
      <c r="C168" s="1" t="n"/>
      <c r="D168" s="104" t="n"/>
      <c r="E168" s="1" t="n"/>
      <c r="F168" s="1" t="n"/>
      <c r="G168" s="1" t="n"/>
      <c r="H168" s="104" t="n"/>
      <c r="I168" s="104" t="n"/>
      <c r="J168" s="1" t="n"/>
      <c r="K168" s="1" t="n"/>
      <c r="L168" s="111" t="n"/>
      <c r="M168" s="1" t="n"/>
      <c r="N168" s="112">
        <f>IF(AND(L168&lt;&gt;"",F168&gt;0),L168/F168,"")</f>
        <v/>
      </c>
      <c r="O168" s="1" t="n"/>
      <c r="P168" s="1" t="n"/>
      <c r="Q168" s="1" t="n"/>
      <c r="R168" s="120">
        <f>IF(D168&lt;&gt;"",IF(MONTH(D168)=MONTH(TODAY()),"🎂 Este mês!",""),"")</f>
        <v/>
      </c>
      <c r="S168" s="1" t="n"/>
    </row>
    <row r="169">
      <c r="A169" s="1" t="n"/>
      <c r="B169" s="1" t="n"/>
      <c r="C169" s="1" t="n"/>
      <c r="D169" s="104" t="n"/>
      <c r="E169" s="1" t="n"/>
      <c r="F169" s="1" t="n"/>
      <c r="G169" s="1" t="n"/>
      <c r="H169" s="104" t="n"/>
      <c r="I169" s="104" t="n"/>
      <c r="J169" s="1" t="n"/>
      <c r="K169" s="1" t="n"/>
      <c r="L169" s="111" t="n"/>
      <c r="M169" s="1" t="n"/>
      <c r="N169" s="112">
        <f>IF(AND(L169&lt;&gt;"",F169&gt;0),L169/F169,"")</f>
        <v/>
      </c>
      <c r="O169" s="1" t="n"/>
      <c r="P169" s="1" t="n"/>
      <c r="Q169" s="1" t="n"/>
      <c r="R169" s="120">
        <f>IF(D169&lt;&gt;"",IF(MONTH(D169)=MONTH(TODAY()),"🎂 Este mês!",""),"")</f>
        <v/>
      </c>
      <c r="S169" s="1" t="n"/>
    </row>
    <row r="170">
      <c r="A170" s="1" t="n"/>
      <c r="B170" s="1" t="n"/>
      <c r="C170" s="1" t="n"/>
      <c r="D170" s="104" t="n"/>
      <c r="E170" s="1" t="n"/>
      <c r="F170" s="1" t="n"/>
      <c r="G170" s="1" t="n"/>
      <c r="H170" s="104" t="n"/>
      <c r="I170" s="104" t="n"/>
      <c r="J170" s="1" t="n"/>
      <c r="K170" s="1" t="n"/>
      <c r="L170" s="111" t="n"/>
      <c r="M170" s="1" t="n"/>
      <c r="N170" s="112">
        <f>IF(AND(L170&lt;&gt;"",F170&gt;0),L170/F170,"")</f>
        <v/>
      </c>
      <c r="O170" s="1" t="n"/>
      <c r="P170" s="1" t="n"/>
      <c r="Q170" s="1" t="n"/>
      <c r="R170" s="120">
        <f>IF(D170&lt;&gt;"",IF(MONTH(D170)=MONTH(TODAY()),"🎂 Este mês!",""),"")</f>
        <v/>
      </c>
      <c r="S170" s="1" t="n"/>
    </row>
    <row r="171">
      <c r="A171" s="1" t="n"/>
      <c r="B171" s="1" t="n"/>
      <c r="C171" s="1" t="n"/>
      <c r="D171" s="104" t="n"/>
      <c r="E171" s="1" t="n"/>
      <c r="F171" s="1" t="n"/>
      <c r="G171" s="1" t="n"/>
      <c r="H171" s="104" t="n"/>
      <c r="I171" s="104" t="n"/>
      <c r="J171" s="1" t="n"/>
      <c r="K171" s="1" t="n"/>
      <c r="L171" s="111" t="n"/>
      <c r="M171" s="1" t="n"/>
      <c r="N171" s="112">
        <f>IF(AND(L171&lt;&gt;"",F171&gt;0),L171/F171,"")</f>
        <v/>
      </c>
      <c r="O171" s="1" t="n"/>
      <c r="P171" s="1" t="n"/>
      <c r="Q171" s="1" t="n"/>
      <c r="R171" s="120">
        <f>IF(D171&lt;&gt;"",IF(MONTH(D171)=MONTH(TODAY()),"🎂 Este mês!",""),"")</f>
        <v/>
      </c>
      <c r="S171" s="1" t="n"/>
    </row>
    <row r="172">
      <c r="A172" s="1" t="n"/>
      <c r="B172" s="1" t="n"/>
      <c r="C172" s="1" t="n"/>
      <c r="D172" s="104" t="n"/>
      <c r="E172" s="1" t="n"/>
      <c r="F172" s="1" t="n"/>
      <c r="G172" s="1" t="n"/>
      <c r="H172" s="104" t="n"/>
      <c r="I172" s="104" t="n"/>
      <c r="J172" s="1" t="n"/>
      <c r="K172" s="1" t="n"/>
      <c r="L172" s="111" t="n"/>
      <c r="M172" s="1" t="n"/>
      <c r="N172" s="112">
        <f>IF(AND(L172&lt;&gt;"",F172&gt;0),L172/F172,"")</f>
        <v/>
      </c>
      <c r="O172" s="1" t="n"/>
      <c r="P172" s="1" t="n"/>
      <c r="Q172" s="1" t="n"/>
      <c r="R172" s="120">
        <f>IF(D172&lt;&gt;"",IF(MONTH(D172)=MONTH(TODAY()),"🎂 Este mês!",""),"")</f>
        <v/>
      </c>
      <c r="S172" s="1" t="n"/>
    </row>
    <row r="173">
      <c r="A173" s="1" t="n"/>
      <c r="B173" s="1" t="n"/>
      <c r="C173" s="1" t="n"/>
      <c r="D173" s="104" t="n"/>
      <c r="E173" s="1" t="n"/>
      <c r="F173" s="1" t="n"/>
      <c r="G173" s="1" t="n"/>
      <c r="H173" s="104" t="n"/>
      <c r="I173" s="104" t="n"/>
      <c r="J173" s="1" t="n"/>
      <c r="K173" s="1" t="n"/>
      <c r="L173" s="111" t="n"/>
      <c r="M173" s="1" t="n"/>
      <c r="N173" s="112">
        <f>IF(AND(L173&lt;&gt;"",F173&gt;0),L173/F173,"")</f>
        <v/>
      </c>
      <c r="O173" s="1" t="n"/>
      <c r="P173" s="1" t="n"/>
      <c r="Q173" s="1" t="n"/>
      <c r="R173" s="120">
        <f>IF(D173&lt;&gt;"",IF(MONTH(D173)=MONTH(TODAY()),"🎂 Este mês!",""),"")</f>
        <v/>
      </c>
      <c r="S173" s="1" t="n"/>
    </row>
    <row r="174">
      <c r="A174" s="1" t="n"/>
      <c r="B174" s="1" t="n"/>
      <c r="C174" s="1" t="n"/>
      <c r="D174" s="104" t="n"/>
      <c r="E174" s="1" t="n"/>
      <c r="F174" s="1" t="n"/>
      <c r="G174" s="1" t="n"/>
      <c r="H174" s="104" t="n"/>
      <c r="I174" s="104" t="n"/>
      <c r="J174" s="1" t="n"/>
      <c r="K174" s="1" t="n"/>
      <c r="L174" s="111" t="n"/>
      <c r="M174" s="1" t="n"/>
      <c r="N174" s="112">
        <f>IF(AND(L174&lt;&gt;"",F174&gt;0),L174/F174,"")</f>
        <v/>
      </c>
      <c r="O174" s="1" t="n"/>
      <c r="P174" s="1" t="n"/>
      <c r="Q174" s="1" t="n"/>
      <c r="R174" s="120">
        <f>IF(D174&lt;&gt;"",IF(MONTH(D174)=MONTH(TODAY()),"🎂 Este mês!",""),"")</f>
        <v/>
      </c>
      <c r="S174" s="1" t="n"/>
    </row>
    <row r="175">
      <c r="A175" s="1" t="n"/>
      <c r="B175" s="1" t="n"/>
      <c r="C175" s="1" t="n"/>
      <c r="D175" s="104" t="n"/>
      <c r="E175" s="1" t="n"/>
      <c r="F175" s="1" t="n"/>
      <c r="G175" s="1" t="n"/>
      <c r="H175" s="104" t="n"/>
      <c r="I175" s="104" t="n"/>
      <c r="J175" s="1" t="n"/>
      <c r="K175" s="1" t="n"/>
      <c r="L175" s="111" t="n"/>
      <c r="M175" s="1" t="n"/>
      <c r="N175" s="112">
        <f>IF(AND(L175&lt;&gt;"",F175&gt;0),L175/F175,"")</f>
        <v/>
      </c>
      <c r="O175" s="1" t="n"/>
      <c r="P175" s="1" t="n"/>
      <c r="Q175" s="1" t="n"/>
      <c r="R175" s="120">
        <f>IF(D175&lt;&gt;"",IF(MONTH(D175)=MONTH(TODAY()),"🎂 Este mês!",""),"")</f>
        <v/>
      </c>
      <c r="S175" s="1" t="n"/>
    </row>
    <row r="176">
      <c r="A176" s="1" t="n"/>
      <c r="B176" s="1" t="n"/>
      <c r="C176" s="1" t="n"/>
      <c r="D176" s="104" t="n"/>
      <c r="E176" s="1" t="n"/>
      <c r="F176" s="1" t="n"/>
      <c r="G176" s="1" t="n"/>
      <c r="H176" s="104" t="n"/>
      <c r="I176" s="104" t="n"/>
      <c r="J176" s="1" t="n"/>
      <c r="K176" s="1" t="n"/>
      <c r="L176" s="111" t="n"/>
      <c r="M176" s="1" t="n"/>
      <c r="N176" s="112">
        <f>IF(AND(L176&lt;&gt;"",F176&gt;0),L176/F176,"")</f>
        <v/>
      </c>
      <c r="O176" s="1" t="n"/>
      <c r="P176" s="1" t="n"/>
      <c r="Q176" s="1" t="n"/>
      <c r="R176" s="120">
        <f>IF(D176&lt;&gt;"",IF(MONTH(D176)=MONTH(TODAY()),"🎂 Este mês!",""),"")</f>
        <v/>
      </c>
      <c r="S176" s="1" t="n"/>
    </row>
    <row r="177">
      <c r="A177" s="1" t="n"/>
      <c r="B177" s="1" t="n"/>
      <c r="C177" s="1" t="n"/>
      <c r="D177" s="104" t="n"/>
      <c r="E177" s="1" t="n"/>
      <c r="F177" s="1" t="n"/>
      <c r="G177" s="1" t="n"/>
      <c r="H177" s="104" t="n"/>
      <c r="I177" s="104" t="n"/>
      <c r="J177" s="1" t="n"/>
      <c r="K177" s="1" t="n"/>
      <c r="L177" s="111" t="n"/>
      <c r="M177" s="1" t="n"/>
      <c r="N177" s="112">
        <f>IF(AND(L177&lt;&gt;"",F177&gt;0),L177/F177,"")</f>
        <v/>
      </c>
      <c r="O177" s="1" t="n"/>
      <c r="P177" s="1" t="n"/>
      <c r="Q177" s="1" t="n"/>
      <c r="R177" s="120">
        <f>IF(D177&lt;&gt;"",IF(MONTH(D177)=MONTH(TODAY()),"🎂 Este mês!",""),"")</f>
        <v/>
      </c>
      <c r="S177" s="1" t="n"/>
    </row>
    <row r="178">
      <c r="A178" s="1" t="n"/>
      <c r="B178" s="1" t="n"/>
      <c r="C178" s="1" t="n"/>
      <c r="D178" s="104" t="n"/>
      <c r="E178" s="1" t="n"/>
      <c r="F178" s="1" t="n"/>
      <c r="G178" s="1" t="n"/>
      <c r="H178" s="104" t="n"/>
      <c r="I178" s="104" t="n"/>
      <c r="J178" s="1" t="n"/>
      <c r="K178" s="1" t="n"/>
      <c r="L178" s="111" t="n"/>
      <c r="M178" s="1" t="n"/>
      <c r="N178" s="112">
        <f>IF(AND(L178&lt;&gt;"",F178&gt;0),L178/F178,"")</f>
        <v/>
      </c>
      <c r="O178" s="1" t="n"/>
      <c r="P178" s="1" t="n"/>
      <c r="Q178" s="1" t="n"/>
      <c r="R178" s="120">
        <f>IF(D178&lt;&gt;"",IF(MONTH(D178)=MONTH(TODAY()),"🎂 Este mês!",""),"")</f>
        <v/>
      </c>
      <c r="S178" s="1" t="n"/>
    </row>
    <row r="179">
      <c r="A179" s="1" t="n"/>
      <c r="B179" s="1" t="n"/>
      <c r="C179" s="1" t="n"/>
      <c r="D179" s="104" t="n"/>
      <c r="E179" s="1" t="n"/>
      <c r="F179" s="1" t="n"/>
      <c r="G179" s="1" t="n"/>
      <c r="H179" s="104" t="n"/>
      <c r="I179" s="104" t="n"/>
      <c r="J179" s="1" t="n"/>
      <c r="K179" s="1" t="n"/>
      <c r="L179" s="111" t="n"/>
      <c r="M179" s="1" t="n"/>
      <c r="N179" s="112">
        <f>IF(AND(L179&lt;&gt;"",F179&gt;0),L179/F179,"")</f>
        <v/>
      </c>
      <c r="O179" s="1" t="n"/>
      <c r="P179" s="1" t="n"/>
      <c r="Q179" s="1" t="n"/>
      <c r="R179" s="120">
        <f>IF(D179&lt;&gt;"",IF(MONTH(D179)=MONTH(TODAY()),"🎂 Este mês!",""),"")</f>
        <v/>
      </c>
      <c r="S179" s="1" t="n"/>
    </row>
    <row r="180">
      <c r="A180" s="1" t="n"/>
      <c r="B180" s="1" t="n"/>
      <c r="C180" s="1" t="n"/>
      <c r="D180" s="104" t="n"/>
      <c r="E180" s="1" t="n"/>
      <c r="F180" s="1" t="n"/>
      <c r="G180" s="1" t="n"/>
      <c r="H180" s="104" t="n"/>
      <c r="I180" s="104" t="n"/>
      <c r="J180" s="1" t="n"/>
      <c r="K180" s="1" t="n"/>
      <c r="L180" s="111" t="n"/>
      <c r="M180" s="1" t="n"/>
      <c r="N180" s="112">
        <f>IF(AND(L180&lt;&gt;"",F180&gt;0),L180/F180,"")</f>
        <v/>
      </c>
      <c r="O180" s="1" t="n"/>
      <c r="P180" s="1" t="n"/>
      <c r="Q180" s="1" t="n"/>
      <c r="R180" s="120">
        <f>IF(D180&lt;&gt;"",IF(MONTH(D180)=MONTH(TODAY()),"🎂 Este mês!",""),"")</f>
        <v/>
      </c>
      <c r="S180" s="1" t="n"/>
    </row>
    <row r="181">
      <c r="A181" s="1" t="n"/>
      <c r="B181" s="1" t="n"/>
      <c r="C181" s="1" t="n"/>
      <c r="D181" s="104" t="n"/>
      <c r="E181" s="1" t="n"/>
      <c r="F181" s="1" t="n"/>
      <c r="G181" s="1" t="n"/>
      <c r="H181" s="104" t="n"/>
      <c r="I181" s="104" t="n"/>
      <c r="J181" s="1" t="n"/>
      <c r="K181" s="1" t="n"/>
      <c r="L181" s="111" t="n"/>
      <c r="M181" s="1" t="n"/>
      <c r="N181" s="112">
        <f>IF(AND(L181&lt;&gt;"",F181&gt;0),L181/F181,"")</f>
        <v/>
      </c>
      <c r="O181" s="1" t="n"/>
      <c r="P181" s="1" t="n"/>
      <c r="Q181" s="1" t="n"/>
      <c r="R181" s="120">
        <f>IF(D181&lt;&gt;"",IF(MONTH(D181)=MONTH(TODAY()),"🎂 Este mês!",""),"")</f>
        <v/>
      </c>
      <c r="S181" s="1" t="n"/>
    </row>
    <row r="182">
      <c r="A182" s="1" t="n"/>
      <c r="B182" s="1" t="n"/>
      <c r="C182" s="1" t="n"/>
      <c r="D182" s="104" t="n"/>
      <c r="E182" s="1" t="n"/>
      <c r="F182" s="1" t="n"/>
      <c r="G182" s="1" t="n"/>
      <c r="H182" s="104" t="n"/>
      <c r="I182" s="104" t="n"/>
      <c r="J182" s="1" t="n"/>
      <c r="K182" s="1" t="n"/>
      <c r="L182" s="111" t="n"/>
      <c r="M182" s="1" t="n"/>
      <c r="N182" s="112">
        <f>IF(AND(L182&lt;&gt;"",F182&gt;0),L182/F182,"")</f>
        <v/>
      </c>
      <c r="O182" s="1" t="n"/>
      <c r="P182" s="1" t="n"/>
      <c r="Q182" s="1" t="n"/>
      <c r="R182" s="120">
        <f>IF(D182&lt;&gt;"",IF(MONTH(D182)=MONTH(TODAY()),"🎂 Este mês!",""),"")</f>
        <v/>
      </c>
      <c r="S182" s="1" t="n"/>
    </row>
    <row r="183">
      <c r="A183" s="1" t="n"/>
      <c r="B183" s="1" t="n"/>
      <c r="C183" s="1" t="n"/>
      <c r="D183" s="104" t="n"/>
      <c r="E183" s="1" t="n"/>
      <c r="F183" s="1" t="n"/>
      <c r="G183" s="1" t="n"/>
      <c r="H183" s="104" t="n"/>
      <c r="I183" s="104" t="n"/>
      <c r="J183" s="1" t="n"/>
      <c r="K183" s="1" t="n"/>
      <c r="L183" s="111" t="n"/>
      <c r="M183" s="1" t="n"/>
      <c r="N183" s="112">
        <f>IF(AND(L183&lt;&gt;"",F183&gt;0),L183/F183,"")</f>
        <v/>
      </c>
      <c r="O183" s="1" t="n"/>
      <c r="P183" s="1" t="n"/>
      <c r="Q183" s="1" t="n"/>
      <c r="R183" s="120">
        <f>IF(D183&lt;&gt;"",IF(MONTH(D183)=MONTH(TODAY()),"🎂 Este mês!",""),"")</f>
        <v/>
      </c>
      <c r="S183" s="1" t="n"/>
    </row>
    <row r="184">
      <c r="A184" s="1" t="n"/>
      <c r="B184" s="1" t="n"/>
      <c r="C184" s="1" t="n"/>
      <c r="D184" s="104" t="n"/>
      <c r="E184" s="1" t="n"/>
      <c r="F184" s="1" t="n"/>
      <c r="G184" s="1" t="n"/>
      <c r="H184" s="104" t="n"/>
      <c r="I184" s="104" t="n"/>
      <c r="J184" s="1" t="n"/>
      <c r="K184" s="1" t="n"/>
      <c r="L184" s="111" t="n"/>
      <c r="M184" s="1" t="n"/>
      <c r="N184" s="112">
        <f>IF(AND(L184&lt;&gt;"",F184&gt;0),L184/F184,"")</f>
        <v/>
      </c>
      <c r="O184" s="1" t="n"/>
      <c r="P184" s="1" t="n"/>
      <c r="Q184" s="1" t="n"/>
      <c r="R184" s="120">
        <f>IF(D184&lt;&gt;"",IF(MONTH(D184)=MONTH(TODAY()),"🎂 Este mês!",""),"")</f>
        <v/>
      </c>
      <c r="S184" s="1" t="n"/>
    </row>
    <row r="185">
      <c r="A185" s="1" t="n"/>
      <c r="B185" s="1" t="n"/>
      <c r="C185" s="1" t="n"/>
      <c r="D185" s="104" t="n"/>
      <c r="E185" s="1" t="n"/>
      <c r="F185" s="1" t="n"/>
      <c r="G185" s="1" t="n"/>
      <c r="H185" s="104" t="n"/>
      <c r="I185" s="104" t="n"/>
      <c r="J185" s="1" t="n"/>
      <c r="K185" s="1" t="n"/>
      <c r="L185" s="111" t="n"/>
      <c r="M185" s="1" t="n"/>
      <c r="N185" s="112">
        <f>IF(AND(L185&lt;&gt;"",F185&gt;0),L185/F185,"")</f>
        <v/>
      </c>
      <c r="O185" s="1" t="n"/>
      <c r="P185" s="1" t="n"/>
      <c r="Q185" s="1" t="n"/>
      <c r="R185" s="120">
        <f>IF(D185&lt;&gt;"",IF(MONTH(D185)=MONTH(TODAY()),"🎂 Este mês!",""),"")</f>
        <v/>
      </c>
      <c r="S185" s="1" t="n"/>
    </row>
    <row r="186">
      <c r="A186" s="1" t="n"/>
      <c r="B186" s="1" t="n"/>
      <c r="C186" s="1" t="n"/>
      <c r="D186" s="104" t="n"/>
      <c r="E186" s="1" t="n"/>
      <c r="F186" s="1" t="n"/>
      <c r="G186" s="1" t="n"/>
      <c r="H186" s="104" t="n"/>
      <c r="I186" s="104" t="n"/>
      <c r="J186" s="1" t="n"/>
      <c r="K186" s="1" t="n"/>
      <c r="L186" s="111" t="n"/>
      <c r="M186" s="1" t="n"/>
      <c r="N186" s="112">
        <f>IF(AND(L186&lt;&gt;"",F186&gt;0),L186/F186,"")</f>
        <v/>
      </c>
      <c r="O186" s="1" t="n"/>
      <c r="P186" s="1" t="n"/>
      <c r="Q186" s="1" t="n"/>
      <c r="R186" s="120">
        <f>IF(D186&lt;&gt;"",IF(MONTH(D186)=MONTH(TODAY()),"🎂 Este mês!",""),"")</f>
        <v/>
      </c>
      <c r="S186" s="1" t="n"/>
    </row>
    <row r="187">
      <c r="A187" s="1" t="n"/>
      <c r="B187" s="1" t="n"/>
      <c r="C187" s="1" t="n"/>
      <c r="D187" s="104" t="n"/>
      <c r="E187" s="1" t="n"/>
      <c r="F187" s="1" t="n"/>
      <c r="G187" s="1" t="n"/>
      <c r="H187" s="104" t="n"/>
      <c r="I187" s="104" t="n"/>
      <c r="J187" s="1" t="n"/>
      <c r="K187" s="1" t="n"/>
      <c r="L187" s="111" t="n"/>
      <c r="M187" s="1" t="n"/>
      <c r="N187" s="112">
        <f>IF(AND(L187&lt;&gt;"",F187&gt;0),L187/F187,"")</f>
        <v/>
      </c>
      <c r="O187" s="1" t="n"/>
      <c r="P187" s="1" t="n"/>
      <c r="Q187" s="1" t="n"/>
      <c r="R187" s="120">
        <f>IF(D187&lt;&gt;"",IF(MONTH(D187)=MONTH(TODAY()),"🎂 Este mês!",""),"")</f>
        <v/>
      </c>
      <c r="S187" s="1" t="n"/>
    </row>
    <row r="188">
      <c r="A188" s="1" t="n"/>
      <c r="B188" s="1" t="n"/>
      <c r="C188" s="1" t="n"/>
      <c r="D188" s="104" t="n"/>
      <c r="E188" s="1" t="n"/>
      <c r="F188" s="1" t="n"/>
      <c r="G188" s="1" t="n"/>
      <c r="H188" s="104" t="n"/>
      <c r="I188" s="104" t="n"/>
      <c r="J188" s="1" t="n"/>
      <c r="K188" s="1" t="n"/>
      <c r="L188" s="111" t="n"/>
      <c r="M188" s="1" t="n"/>
      <c r="N188" s="112">
        <f>IF(AND(L188&lt;&gt;"",F188&gt;0),L188/F188,"")</f>
        <v/>
      </c>
      <c r="O188" s="1" t="n"/>
      <c r="P188" s="1" t="n"/>
      <c r="Q188" s="1" t="n"/>
      <c r="R188" s="120">
        <f>IF(D188&lt;&gt;"",IF(MONTH(D188)=MONTH(TODAY()),"🎂 Este mês!",""),"")</f>
        <v/>
      </c>
      <c r="S188" s="1" t="n"/>
    </row>
    <row r="189">
      <c r="A189" s="1" t="n"/>
      <c r="B189" s="1" t="n"/>
      <c r="C189" s="1" t="n"/>
      <c r="D189" s="104" t="n"/>
      <c r="E189" s="1" t="n"/>
      <c r="F189" s="1" t="n"/>
      <c r="G189" s="1" t="n"/>
      <c r="H189" s="104" t="n"/>
      <c r="I189" s="104" t="n"/>
      <c r="J189" s="1" t="n"/>
      <c r="K189" s="1" t="n"/>
      <c r="L189" s="111" t="n"/>
      <c r="M189" s="1" t="n"/>
      <c r="N189" s="112">
        <f>IF(AND(L189&lt;&gt;"",F189&gt;0),L189/F189,"")</f>
        <v/>
      </c>
      <c r="O189" s="1" t="n"/>
      <c r="P189" s="1" t="n"/>
      <c r="Q189" s="1" t="n"/>
      <c r="R189" s="120">
        <f>IF(D189&lt;&gt;"",IF(MONTH(D189)=MONTH(TODAY()),"🎂 Este mês!",""),"")</f>
        <v/>
      </c>
      <c r="S189" s="1" t="n"/>
    </row>
    <row r="190">
      <c r="A190" s="1" t="n"/>
      <c r="B190" s="1" t="n"/>
      <c r="C190" s="1" t="n"/>
      <c r="D190" s="104" t="n"/>
      <c r="E190" s="1" t="n"/>
      <c r="F190" s="1" t="n"/>
      <c r="G190" s="1" t="n"/>
      <c r="H190" s="104" t="n"/>
      <c r="I190" s="104" t="n"/>
      <c r="J190" s="1" t="n"/>
      <c r="K190" s="1" t="n"/>
      <c r="L190" s="111" t="n"/>
      <c r="M190" s="1" t="n"/>
      <c r="N190" s="112">
        <f>IF(AND(L190&lt;&gt;"",F190&gt;0),L190/F190,"")</f>
        <v/>
      </c>
      <c r="O190" s="1" t="n"/>
      <c r="P190" s="1" t="n"/>
      <c r="Q190" s="1" t="n"/>
      <c r="R190" s="120">
        <f>IF(D190&lt;&gt;"",IF(MONTH(D190)=MONTH(TODAY()),"🎂 Este mês!",""),"")</f>
        <v/>
      </c>
      <c r="S190" s="1" t="n"/>
    </row>
    <row r="191">
      <c r="A191" s="1" t="n"/>
      <c r="B191" s="1" t="n"/>
      <c r="C191" s="1" t="n"/>
      <c r="D191" s="104" t="n"/>
      <c r="E191" s="1" t="n"/>
      <c r="F191" s="1" t="n"/>
      <c r="G191" s="1" t="n"/>
      <c r="H191" s="104" t="n"/>
      <c r="I191" s="104" t="n"/>
      <c r="J191" s="1" t="n"/>
      <c r="K191" s="1" t="n"/>
      <c r="L191" s="111" t="n"/>
      <c r="M191" s="1" t="n"/>
      <c r="N191" s="112">
        <f>IF(AND(L191&lt;&gt;"",F191&gt;0),L191/F191,"")</f>
        <v/>
      </c>
      <c r="O191" s="1" t="n"/>
      <c r="P191" s="1" t="n"/>
      <c r="Q191" s="1" t="n"/>
      <c r="R191" s="120">
        <f>IF(D191&lt;&gt;"",IF(MONTH(D191)=MONTH(TODAY()),"🎂 Este mês!",""),"")</f>
        <v/>
      </c>
      <c r="S191" s="1" t="n"/>
    </row>
    <row r="192">
      <c r="A192" s="1" t="n"/>
      <c r="B192" s="1" t="n"/>
      <c r="C192" s="1" t="n"/>
      <c r="D192" s="104" t="n"/>
      <c r="E192" s="1" t="n"/>
      <c r="F192" s="1" t="n"/>
      <c r="G192" s="1" t="n"/>
      <c r="H192" s="104" t="n"/>
      <c r="I192" s="104" t="n"/>
      <c r="J192" s="1" t="n"/>
      <c r="K192" s="1" t="n"/>
      <c r="L192" s="111" t="n"/>
      <c r="M192" s="1" t="n"/>
      <c r="N192" s="112">
        <f>IF(AND(L192&lt;&gt;"",F192&gt;0),L192/F192,"")</f>
        <v/>
      </c>
      <c r="O192" s="1" t="n"/>
      <c r="P192" s="1" t="n"/>
      <c r="Q192" s="1" t="n"/>
      <c r="R192" s="120">
        <f>IF(D192&lt;&gt;"",IF(MONTH(D192)=MONTH(TODAY()),"🎂 Este mês!",""),"")</f>
        <v/>
      </c>
      <c r="S192" s="1" t="n"/>
    </row>
    <row r="193">
      <c r="A193" s="1" t="n"/>
      <c r="B193" s="1" t="n"/>
      <c r="C193" s="1" t="n"/>
      <c r="D193" s="104" t="n"/>
      <c r="E193" s="1" t="n"/>
      <c r="F193" s="1" t="n"/>
      <c r="G193" s="1" t="n"/>
      <c r="H193" s="104" t="n"/>
      <c r="I193" s="104" t="n"/>
      <c r="J193" s="1" t="n"/>
      <c r="K193" s="1" t="n"/>
      <c r="L193" s="111" t="n"/>
      <c r="M193" s="1" t="n"/>
      <c r="N193" s="112">
        <f>IF(AND(L193&lt;&gt;"",F193&gt;0),L193/F193,"")</f>
        <v/>
      </c>
      <c r="O193" s="1" t="n"/>
      <c r="P193" s="1" t="n"/>
      <c r="Q193" s="1" t="n"/>
      <c r="R193" s="120">
        <f>IF(D193&lt;&gt;"",IF(MONTH(D193)=MONTH(TODAY()),"🎂 Este mês!",""),"")</f>
        <v/>
      </c>
      <c r="S193" s="1" t="n"/>
    </row>
    <row r="194">
      <c r="A194" s="1" t="n"/>
      <c r="B194" s="1" t="n"/>
      <c r="C194" s="1" t="n"/>
      <c r="D194" s="104" t="n"/>
      <c r="E194" s="1" t="n"/>
      <c r="F194" s="1" t="n"/>
      <c r="G194" s="1" t="n"/>
      <c r="H194" s="104" t="n"/>
      <c r="I194" s="104" t="n"/>
      <c r="J194" s="1" t="n"/>
      <c r="K194" s="1" t="n"/>
      <c r="L194" s="111" t="n"/>
      <c r="M194" s="1" t="n"/>
      <c r="N194" s="112">
        <f>IF(AND(L194&lt;&gt;"",F194&gt;0),L194/F194,"")</f>
        <v/>
      </c>
      <c r="O194" s="1" t="n"/>
      <c r="P194" s="1" t="n"/>
      <c r="Q194" s="1" t="n"/>
      <c r="R194" s="120">
        <f>IF(D194&lt;&gt;"",IF(MONTH(D194)=MONTH(TODAY()),"🎂 Este mês!",""),"")</f>
        <v/>
      </c>
      <c r="S194" s="1" t="n"/>
    </row>
    <row r="195">
      <c r="A195" s="1" t="n"/>
      <c r="B195" s="1" t="n"/>
      <c r="C195" s="1" t="n"/>
      <c r="D195" s="104" t="n"/>
      <c r="E195" s="1" t="n"/>
      <c r="F195" s="1" t="n"/>
      <c r="G195" s="1" t="n"/>
      <c r="H195" s="104" t="n"/>
      <c r="I195" s="104" t="n"/>
      <c r="J195" s="1" t="n"/>
      <c r="K195" s="1" t="n"/>
      <c r="L195" s="111" t="n"/>
      <c r="M195" s="1" t="n"/>
      <c r="N195" s="112">
        <f>IF(AND(L195&lt;&gt;"",F195&gt;0),L195/F195,"")</f>
        <v/>
      </c>
      <c r="O195" s="1" t="n"/>
      <c r="P195" s="1" t="n"/>
      <c r="Q195" s="1" t="n"/>
      <c r="R195" s="120">
        <f>IF(D195&lt;&gt;"",IF(MONTH(D195)=MONTH(TODAY()),"🎂 Este mês!",""),"")</f>
        <v/>
      </c>
      <c r="S195" s="1" t="n"/>
    </row>
    <row r="196">
      <c r="A196" s="1" t="n"/>
      <c r="B196" s="1" t="n"/>
      <c r="C196" s="1" t="n"/>
      <c r="D196" s="104" t="n"/>
      <c r="E196" s="1" t="n"/>
      <c r="F196" s="1" t="n"/>
      <c r="G196" s="1" t="n"/>
      <c r="H196" s="104" t="n"/>
      <c r="I196" s="104" t="n"/>
      <c r="J196" s="1" t="n"/>
      <c r="K196" s="1" t="n"/>
      <c r="L196" s="111" t="n"/>
      <c r="M196" s="1" t="n"/>
      <c r="N196" s="112">
        <f>IF(AND(L196&lt;&gt;"",F196&gt;0),L196/F196,"")</f>
        <v/>
      </c>
      <c r="O196" s="1" t="n"/>
      <c r="P196" s="1" t="n"/>
      <c r="Q196" s="1" t="n"/>
      <c r="R196" s="120">
        <f>IF(D196&lt;&gt;"",IF(MONTH(D196)=MONTH(TODAY()),"🎂 Este mês!",""),"")</f>
        <v/>
      </c>
      <c r="S196" s="1" t="n"/>
    </row>
    <row r="197">
      <c r="A197" s="1" t="n"/>
      <c r="B197" s="1" t="n"/>
      <c r="C197" s="1" t="n"/>
      <c r="D197" s="104" t="n"/>
      <c r="E197" s="1" t="n"/>
      <c r="F197" s="1" t="n"/>
      <c r="G197" s="1" t="n"/>
      <c r="H197" s="104" t="n"/>
      <c r="I197" s="104" t="n"/>
      <c r="J197" s="1" t="n"/>
      <c r="K197" s="1" t="n"/>
      <c r="L197" s="111" t="n"/>
      <c r="M197" s="1" t="n"/>
      <c r="N197" s="112">
        <f>IF(AND(L197&lt;&gt;"",F197&gt;0),L197/F197,"")</f>
        <v/>
      </c>
      <c r="O197" s="1" t="n"/>
      <c r="P197" s="1" t="n"/>
      <c r="Q197" s="1" t="n"/>
      <c r="R197" s="120">
        <f>IF(D197&lt;&gt;"",IF(MONTH(D197)=MONTH(TODAY()),"🎂 Este mês!",""),"")</f>
        <v/>
      </c>
      <c r="S197" s="1" t="n"/>
    </row>
    <row r="198">
      <c r="A198" s="1" t="n"/>
      <c r="B198" s="1" t="n"/>
      <c r="C198" s="1" t="n"/>
      <c r="D198" s="104" t="n"/>
      <c r="E198" s="1" t="n"/>
      <c r="F198" s="1" t="n"/>
      <c r="G198" s="1" t="n"/>
      <c r="H198" s="104" t="n"/>
      <c r="I198" s="104" t="n"/>
      <c r="J198" s="1" t="n"/>
      <c r="K198" s="1" t="n"/>
      <c r="L198" s="111" t="n"/>
      <c r="M198" s="1" t="n"/>
      <c r="N198" s="112">
        <f>IF(AND(L198&lt;&gt;"",F198&gt;0),L198/F198,"")</f>
        <v/>
      </c>
      <c r="O198" s="1" t="n"/>
      <c r="P198" s="1" t="n"/>
      <c r="Q198" s="1" t="n"/>
      <c r="R198" s="120">
        <f>IF(D198&lt;&gt;"",IF(MONTH(D198)=MONTH(TODAY()),"🎂 Este mês!",""),"")</f>
        <v/>
      </c>
      <c r="S198" s="1" t="n"/>
    </row>
    <row r="199">
      <c r="A199" s="1" t="n"/>
      <c r="B199" s="1" t="n"/>
      <c r="C199" s="1" t="n"/>
      <c r="D199" s="104" t="n"/>
      <c r="E199" s="1" t="n"/>
      <c r="F199" s="1" t="n"/>
      <c r="G199" s="1" t="n"/>
      <c r="H199" s="104" t="n"/>
      <c r="I199" s="104" t="n"/>
      <c r="J199" s="1" t="n"/>
      <c r="K199" s="1" t="n"/>
      <c r="L199" s="111" t="n"/>
      <c r="M199" s="1" t="n"/>
      <c r="N199" s="112">
        <f>IF(AND(L199&lt;&gt;"",F199&gt;0),L199/F199,"")</f>
        <v/>
      </c>
      <c r="O199" s="1" t="n"/>
      <c r="P199" s="1" t="n"/>
      <c r="Q199" s="1" t="n"/>
      <c r="R199" s="120">
        <f>IF(D199&lt;&gt;"",IF(MONTH(D199)=MONTH(TODAY()),"🎂 Este mês!",""),"")</f>
        <v/>
      </c>
      <c r="S199" s="1" t="n"/>
    </row>
    <row r="200">
      <c r="D200" s="115" t="n"/>
      <c r="H200" s="115" t="n"/>
      <c r="I200" s="115" t="n"/>
      <c r="L200" s="116" t="n"/>
      <c r="N200" s="117">
        <f>IF(AND(L200&lt;&gt;"",F200&gt;0),L200/F200,"")</f>
        <v/>
      </c>
      <c r="R200" s="121">
        <f>IF(D200&lt;&gt;"",IF(MONTH(D200)=MONTH(TODAY()),"🎂 Este mês!",""),"")</f>
        <v/>
      </c>
    </row>
    <row r="201">
      <c r="D201" s="115" t="n"/>
      <c r="H201" s="115" t="n"/>
      <c r="I201" s="115" t="n"/>
      <c r="L201" s="116" t="n"/>
      <c r="N201" s="117">
        <f>IF(AND(L201&lt;&gt;"",F201&gt;0),L201/F201,"")</f>
        <v/>
      </c>
      <c r="R201" s="121">
        <f>IF(D201&lt;&gt;"",IF(MONTH(D201)=MONTH(TODAY()),"🎂 Este mês!",""),"")</f>
        <v/>
      </c>
    </row>
    <row r="202">
      <c r="D202" s="115" t="n"/>
      <c r="H202" s="115" t="n"/>
      <c r="I202" s="115" t="n"/>
      <c r="L202" s="116" t="n"/>
      <c r="N202" s="117">
        <f>IF(AND(L202&lt;&gt;"",F202&gt;0),L202/F202,"")</f>
        <v/>
      </c>
      <c r="R202" s="121">
        <f>IF(D202&lt;&gt;"",IF(MONTH(D202)=MONTH(TODAY()),"🎂 Este mês!",""),"")</f>
        <v/>
      </c>
    </row>
    <row r="203">
      <c r="D203" s="115" t="n"/>
      <c r="H203" s="115" t="n"/>
      <c r="I203" s="115" t="n"/>
      <c r="L203" s="116" t="n"/>
      <c r="N203" s="117">
        <f>IF(AND(L203&lt;&gt;"",F203&gt;0),L203/F203,"")</f>
        <v/>
      </c>
      <c r="R203" s="121">
        <f>IF(D203&lt;&gt;"",IF(MONTH(D203)=MONTH(TODAY()),"🎂 Este mês!",""),"")</f>
        <v/>
      </c>
    </row>
    <row r="204">
      <c r="D204" s="115" t="n"/>
      <c r="H204" s="115" t="n"/>
      <c r="I204" s="115" t="n"/>
      <c r="L204" s="116" t="n"/>
      <c r="N204" s="117">
        <f>IF(AND(L204&lt;&gt;"",F204&gt;0),L204/F204,"")</f>
        <v/>
      </c>
      <c r="R204" s="121">
        <f>IF(D204&lt;&gt;"",IF(MONTH(D204)=MONTH(TODAY()),"🎂 Este mês!",""),"")</f>
        <v/>
      </c>
    </row>
    <row r="205">
      <c r="D205" s="115" t="n"/>
      <c r="H205" s="115" t="n"/>
      <c r="I205" s="115" t="n"/>
      <c r="L205" s="116" t="n"/>
      <c r="N205" s="117">
        <f>IF(AND(L205&lt;&gt;"",F205&gt;0),L205/F205,"")</f>
        <v/>
      </c>
      <c r="R205" s="121">
        <f>IF(D205&lt;&gt;"",IF(MONTH(D205)=MONTH(TODAY()),"🎂 Este mês!",""),"")</f>
        <v/>
      </c>
    </row>
    <row r="206">
      <c r="D206" s="115" t="n"/>
      <c r="H206" s="115" t="n"/>
      <c r="I206" s="115" t="n"/>
      <c r="L206" s="116" t="n"/>
      <c r="N206" s="117">
        <f>IF(AND(L206&lt;&gt;"",F206&gt;0),L206/F206,"")</f>
        <v/>
      </c>
      <c r="R206" s="121">
        <f>IF(D206&lt;&gt;"",IF(MONTH(D206)=MONTH(TODAY()),"🎂 Este mês!",""),"")</f>
        <v/>
      </c>
    </row>
    <row r="207">
      <c r="D207" s="115" t="n"/>
      <c r="H207" s="115" t="n"/>
      <c r="I207" s="115" t="n"/>
      <c r="L207" s="116" t="n"/>
      <c r="N207" s="117">
        <f>IF(AND(L207&lt;&gt;"",F207&gt;0),L207/F207,"")</f>
        <v/>
      </c>
      <c r="R207" s="121">
        <f>IF(D207&lt;&gt;"",IF(MONTH(D207)=MONTH(TODAY()),"🎂 Este mês!",""),"")</f>
        <v/>
      </c>
    </row>
    <row r="208">
      <c r="D208" s="115" t="n"/>
      <c r="H208" s="115" t="n"/>
      <c r="I208" s="115" t="n"/>
      <c r="L208" s="116" t="n"/>
      <c r="N208" s="117">
        <f>IF(AND(L208&lt;&gt;"",F208&gt;0),L208/F208,"")</f>
        <v/>
      </c>
      <c r="R208" s="121">
        <f>IF(D208&lt;&gt;"",IF(MONTH(D208)=MONTH(TODAY()),"🎂 Este mês!",""),"")</f>
        <v/>
      </c>
    </row>
    <row r="209">
      <c r="D209" s="115" t="n"/>
      <c r="H209" s="115" t="n"/>
      <c r="I209" s="115" t="n"/>
      <c r="L209" s="116" t="n"/>
      <c r="N209" s="117">
        <f>IF(AND(L209&lt;&gt;"",F209&gt;0),L209/F209,"")</f>
        <v/>
      </c>
      <c r="R209" s="121">
        <f>IF(D209&lt;&gt;"",IF(MONTH(D209)=MONTH(TODAY()),"🎂 Este mês!",""),"")</f>
        <v/>
      </c>
    </row>
    <row r="210">
      <c r="D210" s="115" t="n"/>
      <c r="H210" s="115" t="n"/>
      <c r="I210" s="115" t="n"/>
      <c r="L210" s="116" t="n"/>
      <c r="N210" s="117">
        <f>IF(AND(L210&lt;&gt;"",F210&gt;0),L210/F210,"")</f>
        <v/>
      </c>
      <c r="R210" s="121">
        <f>IF(D210&lt;&gt;"",IF(MONTH(D210)=MONTH(TODAY()),"🎂 Este mês!",""),"")</f>
        <v/>
      </c>
    </row>
    <row r="211">
      <c r="D211" s="115" t="n"/>
      <c r="H211" s="115" t="n"/>
      <c r="I211" s="115" t="n"/>
      <c r="L211" s="116" t="n"/>
      <c r="N211" s="117">
        <f>IF(AND(L211&lt;&gt;"",F211&gt;0),L211/F211,"")</f>
        <v/>
      </c>
      <c r="R211" s="121">
        <f>IF(D211&lt;&gt;"",IF(MONTH(D211)=MONTH(TODAY()),"🎂 Este mês!",""),"")</f>
        <v/>
      </c>
    </row>
    <row r="212">
      <c r="D212" s="115" t="n"/>
      <c r="H212" s="115" t="n"/>
      <c r="I212" s="115" t="n"/>
      <c r="L212" s="116" t="n"/>
      <c r="N212" s="117">
        <f>IF(AND(L212&lt;&gt;"",F212&gt;0),L212/F212,"")</f>
        <v/>
      </c>
      <c r="R212" s="121">
        <f>IF(D212&lt;&gt;"",IF(MONTH(D212)=MONTH(TODAY()),"🎂 Este mês!",""),"")</f>
        <v/>
      </c>
    </row>
    <row r="213">
      <c r="D213" s="115" t="n"/>
      <c r="H213" s="115" t="n"/>
      <c r="I213" s="115" t="n"/>
      <c r="L213" s="116" t="n"/>
      <c r="N213" s="117">
        <f>IF(AND(L213&lt;&gt;"",F213&gt;0),L213/F213,"")</f>
        <v/>
      </c>
      <c r="R213" s="121">
        <f>IF(D213&lt;&gt;"",IF(MONTH(D213)=MONTH(TODAY()),"🎂 Este mês!",""),"")</f>
        <v/>
      </c>
    </row>
    <row r="214">
      <c r="D214" s="115" t="n"/>
      <c r="H214" s="115" t="n"/>
      <c r="I214" s="115" t="n"/>
      <c r="L214" s="116" t="n"/>
      <c r="N214" s="117">
        <f>IF(AND(L214&lt;&gt;"",F214&gt;0),L214/F214,"")</f>
        <v/>
      </c>
      <c r="R214" s="121">
        <f>IF(D214&lt;&gt;"",IF(MONTH(D214)=MONTH(TODAY()),"🎂 Este mês!",""),"")</f>
        <v/>
      </c>
    </row>
    <row r="215">
      <c r="D215" s="115" t="n"/>
      <c r="H215" s="115" t="n"/>
      <c r="I215" s="115" t="n"/>
      <c r="L215" s="116" t="n"/>
      <c r="N215" s="117">
        <f>IF(AND(L215&lt;&gt;"",F215&gt;0),L215/F215,"")</f>
        <v/>
      </c>
      <c r="R215" s="121">
        <f>IF(D215&lt;&gt;"",IF(MONTH(D215)=MONTH(TODAY()),"🎂 Este mês!",""),"")</f>
        <v/>
      </c>
    </row>
    <row r="216">
      <c r="D216" s="115" t="n"/>
      <c r="H216" s="115" t="n"/>
      <c r="I216" s="115" t="n"/>
      <c r="L216" s="116" t="n"/>
      <c r="N216" s="117">
        <f>IF(AND(L216&lt;&gt;"",F216&gt;0),L216/F216,"")</f>
        <v/>
      </c>
      <c r="R216" s="121">
        <f>IF(D216&lt;&gt;"",IF(MONTH(D216)=MONTH(TODAY()),"🎂 Este mês!",""),"")</f>
        <v/>
      </c>
    </row>
    <row r="217">
      <c r="D217" s="115" t="n"/>
      <c r="H217" s="115" t="n"/>
      <c r="I217" s="115" t="n"/>
      <c r="L217" s="116" t="n"/>
      <c r="N217" s="117">
        <f>IF(AND(L217&lt;&gt;"",F217&gt;0),L217/F217,"")</f>
        <v/>
      </c>
      <c r="R217" s="121">
        <f>IF(D217&lt;&gt;"",IF(MONTH(D217)=MONTH(TODAY()),"🎂 Este mês!",""),"")</f>
        <v/>
      </c>
    </row>
    <row r="218">
      <c r="D218" s="115" t="n"/>
      <c r="H218" s="115" t="n"/>
      <c r="I218" s="115" t="n"/>
      <c r="L218" s="116" t="n"/>
      <c r="N218" s="117">
        <f>IF(AND(L218&lt;&gt;"",F218&gt;0),L218/F218,"")</f>
        <v/>
      </c>
      <c r="R218" s="121">
        <f>IF(D218&lt;&gt;"",IF(MONTH(D218)=MONTH(TODAY()),"🎂 Este mês!",""),"")</f>
        <v/>
      </c>
    </row>
    <row r="219">
      <c r="D219" s="115" t="n"/>
      <c r="H219" s="115" t="n"/>
      <c r="I219" s="115" t="n"/>
      <c r="L219" s="116" t="n"/>
      <c r="N219" s="117">
        <f>IF(AND(L219&lt;&gt;"",F219&gt;0),L219/F219,"")</f>
        <v/>
      </c>
      <c r="R219" s="121">
        <f>IF(D219&lt;&gt;"",IF(MONTH(D219)=MONTH(TODAY()),"🎂 Este mês!",""),"")</f>
        <v/>
      </c>
    </row>
    <row r="220">
      <c r="D220" s="115" t="n"/>
      <c r="H220" s="115" t="n"/>
      <c r="I220" s="115" t="n"/>
      <c r="L220" s="116" t="n"/>
      <c r="N220" s="117">
        <f>IF(AND(L220&lt;&gt;"",F220&gt;0),L220/F220,"")</f>
        <v/>
      </c>
      <c r="R220" s="121">
        <f>IF(D220&lt;&gt;"",IF(MONTH(D220)=MONTH(TODAY()),"🎂 Este mês!",""),"")</f>
        <v/>
      </c>
    </row>
    <row r="221">
      <c r="D221" s="115" t="n"/>
      <c r="H221" s="115" t="n"/>
      <c r="I221" s="115" t="n"/>
      <c r="L221" s="116" t="n"/>
      <c r="N221" s="117">
        <f>IF(AND(L221&lt;&gt;"",F221&gt;0),L221/F221,"")</f>
        <v/>
      </c>
      <c r="R221" s="121">
        <f>IF(D221&lt;&gt;"",IF(MONTH(D221)=MONTH(TODAY()),"🎂 Este mês!",""),"")</f>
        <v/>
      </c>
    </row>
    <row r="222">
      <c r="D222" s="115" t="n"/>
      <c r="H222" s="115" t="n"/>
      <c r="I222" s="115" t="n"/>
      <c r="L222" s="116" t="n"/>
      <c r="N222" s="117">
        <f>IF(AND(L222&lt;&gt;"",F222&gt;0),L222/F222,"")</f>
        <v/>
      </c>
      <c r="R222" s="121">
        <f>IF(D222&lt;&gt;"",IF(MONTH(D222)=MONTH(TODAY()),"🎂 Este mês!",""),"")</f>
        <v/>
      </c>
    </row>
    <row r="223">
      <c r="D223" s="115" t="n"/>
      <c r="H223" s="115" t="n"/>
      <c r="I223" s="115" t="n"/>
      <c r="L223" s="116" t="n"/>
      <c r="N223" s="117">
        <f>IF(AND(L223&lt;&gt;"",F223&gt;0),L223/F223,"")</f>
        <v/>
      </c>
      <c r="R223" s="121">
        <f>IF(D223&lt;&gt;"",IF(MONTH(D223)=MONTH(TODAY()),"🎂 Este mês!",""),"")</f>
        <v/>
      </c>
    </row>
    <row r="224">
      <c r="D224" s="115" t="n"/>
      <c r="H224" s="115" t="n"/>
      <c r="I224" s="115" t="n"/>
      <c r="L224" s="116" t="n"/>
      <c r="N224" s="117">
        <f>IF(AND(L224&lt;&gt;"",F224&gt;0),L224/F224,"")</f>
        <v/>
      </c>
      <c r="R224" s="121">
        <f>IF(D224&lt;&gt;"",IF(MONTH(D224)=MONTH(TODAY()),"🎂 Este mês!",""),"")</f>
        <v/>
      </c>
    </row>
    <row r="225">
      <c r="D225" s="115" t="n"/>
      <c r="H225" s="115" t="n"/>
      <c r="I225" s="115" t="n"/>
      <c r="L225" s="116" t="n"/>
      <c r="N225" s="117">
        <f>IF(AND(L225&lt;&gt;"",F225&gt;0),L225/F225,"")</f>
        <v/>
      </c>
      <c r="R225" s="121">
        <f>IF(D225&lt;&gt;"",IF(MONTH(D225)=MONTH(TODAY()),"🎂 Este mês!",""),"")</f>
        <v/>
      </c>
    </row>
    <row r="226">
      <c r="D226" s="115" t="n"/>
      <c r="H226" s="115" t="n"/>
      <c r="I226" s="115" t="n"/>
      <c r="L226" s="116" t="n"/>
      <c r="N226" s="117">
        <f>IF(AND(L226&lt;&gt;"",F226&gt;0),L226/F226,"")</f>
        <v/>
      </c>
      <c r="R226" s="121">
        <f>IF(D226&lt;&gt;"",IF(MONTH(D226)=MONTH(TODAY()),"🎂 Este mês!",""),"")</f>
        <v/>
      </c>
    </row>
    <row r="227">
      <c r="D227" s="115" t="n"/>
      <c r="H227" s="115" t="n"/>
      <c r="I227" s="115" t="n"/>
      <c r="L227" s="116" t="n"/>
      <c r="N227" s="117">
        <f>IF(AND(L227&lt;&gt;"",F227&gt;0),L227/F227,"")</f>
        <v/>
      </c>
      <c r="R227" s="121">
        <f>IF(D227&lt;&gt;"",IF(MONTH(D227)=MONTH(TODAY()),"🎂 Este mês!",""),"")</f>
        <v/>
      </c>
    </row>
    <row r="228">
      <c r="D228" s="115" t="n"/>
      <c r="H228" s="115" t="n"/>
      <c r="I228" s="115" t="n"/>
      <c r="L228" s="116" t="n"/>
      <c r="N228" s="117">
        <f>IF(AND(L228&lt;&gt;"",F228&gt;0),L228/F228,"")</f>
        <v/>
      </c>
      <c r="R228" s="121">
        <f>IF(D228&lt;&gt;"",IF(MONTH(D228)=MONTH(TODAY()),"🎂 Este mês!",""),"")</f>
        <v/>
      </c>
    </row>
    <row r="229">
      <c r="D229" s="115" t="n"/>
      <c r="H229" s="115" t="n"/>
      <c r="I229" s="115" t="n"/>
      <c r="L229" s="116" t="n"/>
      <c r="N229" s="117">
        <f>IF(AND(L229&lt;&gt;"",F229&gt;0),L229/F229,"")</f>
        <v/>
      </c>
      <c r="R229" s="121">
        <f>IF(D229&lt;&gt;"",IF(MONTH(D229)=MONTH(TODAY()),"🎂 Este mês!",""),"")</f>
        <v/>
      </c>
    </row>
    <row r="230">
      <c r="D230" s="115" t="n"/>
      <c r="H230" s="115" t="n"/>
      <c r="I230" s="115" t="n"/>
      <c r="L230" s="116" t="n"/>
      <c r="N230" s="117">
        <f>IF(AND(L230&lt;&gt;"",F230&gt;0),L230/F230,"")</f>
        <v/>
      </c>
      <c r="R230" s="121">
        <f>IF(D230&lt;&gt;"",IF(MONTH(D230)=MONTH(TODAY()),"🎂 Este mês!",""),"")</f>
        <v/>
      </c>
    </row>
    <row r="231">
      <c r="D231" s="115" t="n"/>
      <c r="H231" s="115" t="n"/>
      <c r="I231" s="115" t="n"/>
      <c r="L231" s="116" t="n"/>
      <c r="N231" s="117">
        <f>IF(AND(L231&lt;&gt;"",F231&gt;0),L231/F231,"")</f>
        <v/>
      </c>
      <c r="R231" s="121">
        <f>IF(D231&lt;&gt;"",IF(MONTH(D231)=MONTH(TODAY()),"🎂 Este mês!",""),"")</f>
        <v/>
      </c>
    </row>
    <row r="232">
      <c r="D232" s="115" t="n"/>
      <c r="H232" s="115" t="n"/>
      <c r="I232" s="115" t="n"/>
      <c r="L232" s="116" t="n"/>
      <c r="N232" s="117">
        <f>IF(AND(L232&lt;&gt;"",F232&gt;0),L232/F232,"")</f>
        <v/>
      </c>
      <c r="R232" s="121">
        <f>IF(D232&lt;&gt;"",IF(MONTH(D232)=MONTH(TODAY()),"🎂 Este mês!",""),"")</f>
        <v/>
      </c>
    </row>
    <row r="233">
      <c r="D233" s="115" t="n"/>
      <c r="H233" s="115" t="n"/>
      <c r="I233" s="115" t="n"/>
      <c r="L233" s="116" t="n"/>
      <c r="N233" s="117">
        <f>IF(AND(L233&lt;&gt;"",F233&gt;0),L233/F233,"")</f>
        <v/>
      </c>
      <c r="R233" s="121">
        <f>IF(D233&lt;&gt;"",IF(MONTH(D233)=MONTH(TODAY()),"🎂 Este mês!",""),"")</f>
        <v/>
      </c>
    </row>
    <row r="234">
      <c r="D234" s="115" t="n"/>
      <c r="H234" s="115" t="n"/>
      <c r="I234" s="115" t="n"/>
      <c r="L234" s="116" t="n"/>
      <c r="N234" s="117">
        <f>IF(AND(L234&lt;&gt;"",F234&gt;0),L234/F234,"")</f>
        <v/>
      </c>
      <c r="R234" s="121">
        <f>IF(D234&lt;&gt;"",IF(MONTH(D234)=MONTH(TODAY()),"🎂 Este mês!",""),"")</f>
        <v/>
      </c>
    </row>
    <row r="235">
      <c r="D235" s="115" t="n"/>
      <c r="H235" s="115" t="n"/>
      <c r="I235" s="115" t="n"/>
      <c r="L235" s="116" t="n"/>
      <c r="N235" s="117">
        <f>IF(AND(L235&lt;&gt;"",F235&gt;0),L235/F235,"")</f>
        <v/>
      </c>
      <c r="R235" s="121">
        <f>IF(D235&lt;&gt;"",IF(MONTH(D235)=MONTH(TODAY()),"🎂 Este mês!",""),"")</f>
        <v/>
      </c>
    </row>
    <row r="236">
      <c r="D236" s="115" t="n"/>
      <c r="H236" s="115" t="n"/>
      <c r="I236" s="115" t="n"/>
      <c r="L236" s="116" t="n"/>
      <c r="N236" s="117">
        <f>IF(AND(L236&lt;&gt;"",F236&gt;0),L236/F236,"")</f>
        <v/>
      </c>
      <c r="R236" s="121">
        <f>IF(D236&lt;&gt;"",IF(MONTH(D236)=MONTH(TODAY()),"🎂 Este mês!",""),"")</f>
        <v/>
      </c>
    </row>
    <row r="237">
      <c r="D237" s="115" t="n"/>
      <c r="H237" s="115" t="n"/>
      <c r="I237" s="115" t="n"/>
      <c r="L237" s="116" t="n"/>
      <c r="N237" s="117">
        <f>IF(AND(L237&lt;&gt;"",F237&gt;0),L237/F237,"")</f>
        <v/>
      </c>
      <c r="R237" s="121">
        <f>IF(D237&lt;&gt;"",IF(MONTH(D237)=MONTH(TODAY()),"🎂 Este mês!",""),"")</f>
        <v/>
      </c>
    </row>
    <row r="238">
      <c r="D238" s="115" t="n"/>
      <c r="H238" s="115" t="n"/>
      <c r="I238" s="115" t="n"/>
      <c r="L238" s="116" t="n"/>
      <c r="N238" s="117">
        <f>IF(AND(L238&lt;&gt;"",F238&gt;0),L238/F238,"")</f>
        <v/>
      </c>
      <c r="R238" s="121">
        <f>IF(D238&lt;&gt;"",IF(MONTH(D238)=MONTH(TODAY()),"🎂 Este mês!",""),"")</f>
        <v/>
      </c>
    </row>
    <row r="239">
      <c r="D239" s="115" t="n"/>
      <c r="H239" s="115" t="n"/>
      <c r="I239" s="115" t="n"/>
      <c r="L239" s="116" t="n"/>
      <c r="N239" s="117">
        <f>IF(AND(L239&lt;&gt;"",F239&gt;0),L239/F239,"")</f>
        <v/>
      </c>
      <c r="R239" s="121">
        <f>IF(D239&lt;&gt;"",IF(MONTH(D239)=MONTH(TODAY()),"🎂 Este mês!",""),"")</f>
        <v/>
      </c>
    </row>
    <row r="240">
      <c r="D240" s="115" t="n"/>
      <c r="H240" s="115" t="n"/>
      <c r="I240" s="115" t="n"/>
      <c r="L240" s="116" t="n"/>
      <c r="N240" s="117">
        <f>IF(AND(L240&lt;&gt;"",F240&gt;0),L240/F240,"")</f>
        <v/>
      </c>
      <c r="R240" s="121">
        <f>IF(D240&lt;&gt;"",IF(MONTH(D240)=MONTH(TODAY()),"🎂 Este mês!",""),"")</f>
        <v/>
      </c>
    </row>
    <row r="241">
      <c r="D241" s="115" t="n"/>
      <c r="H241" s="115" t="n"/>
      <c r="I241" s="115" t="n"/>
      <c r="L241" s="116" t="n"/>
      <c r="N241" s="117">
        <f>IF(AND(L241&lt;&gt;"",F241&gt;0),L241/F241,"")</f>
        <v/>
      </c>
      <c r="R241" s="121">
        <f>IF(D241&lt;&gt;"",IF(MONTH(D241)=MONTH(TODAY()),"🎂 Este mês!",""),"")</f>
        <v/>
      </c>
    </row>
    <row r="242">
      <c r="D242" s="115" t="n"/>
      <c r="H242" s="115" t="n"/>
      <c r="I242" s="115" t="n"/>
      <c r="L242" s="116" t="n"/>
      <c r="N242" s="117">
        <f>IF(AND(L242&lt;&gt;"",F242&gt;0),L242/F242,"")</f>
        <v/>
      </c>
      <c r="R242" s="121">
        <f>IF(D242&lt;&gt;"",IF(MONTH(D242)=MONTH(TODAY()),"🎂 Este mês!",""),"")</f>
        <v/>
      </c>
    </row>
    <row r="243">
      <c r="D243" s="115" t="n"/>
      <c r="H243" s="115" t="n"/>
      <c r="I243" s="115" t="n"/>
      <c r="L243" s="116" t="n"/>
      <c r="N243" s="117">
        <f>IF(AND(L243&lt;&gt;"",F243&gt;0),L243/F243,"")</f>
        <v/>
      </c>
      <c r="R243" s="121">
        <f>IF(D243&lt;&gt;"",IF(MONTH(D243)=MONTH(TODAY()),"🎂 Este mês!",""),"")</f>
        <v/>
      </c>
    </row>
    <row r="244">
      <c r="D244" s="115" t="n"/>
      <c r="H244" s="115" t="n"/>
      <c r="I244" s="115" t="n"/>
      <c r="L244" s="116" t="n"/>
      <c r="N244" s="117">
        <f>IF(AND(L244&lt;&gt;"",F244&gt;0),L244/F244,"")</f>
        <v/>
      </c>
      <c r="R244" s="121">
        <f>IF(D244&lt;&gt;"",IF(MONTH(D244)=MONTH(TODAY()),"🎂 Este mês!",""),"")</f>
        <v/>
      </c>
    </row>
    <row r="245">
      <c r="D245" s="115" t="n"/>
      <c r="H245" s="115" t="n"/>
      <c r="I245" s="115" t="n"/>
      <c r="L245" s="116" t="n"/>
      <c r="N245" s="117">
        <f>IF(AND(L245&lt;&gt;"",F245&gt;0),L245/F245,"")</f>
        <v/>
      </c>
      <c r="R245" s="121">
        <f>IF(D245&lt;&gt;"",IF(MONTH(D245)=MONTH(TODAY()),"🎂 Este mês!",""),"")</f>
        <v/>
      </c>
    </row>
    <row r="246">
      <c r="D246" s="115" t="n"/>
      <c r="H246" s="115" t="n"/>
      <c r="I246" s="115" t="n"/>
      <c r="L246" s="116" t="n"/>
      <c r="N246" s="117">
        <f>IF(AND(L246&lt;&gt;"",F246&gt;0),L246/F246,"")</f>
        <v/>
      </c>
      <c r="R246" s="121">
        <f>IF(D246&lt;&gt;"",IF(MONTH(D246)=MONTH(TODAY()),"🎂 Este mês!",""),"")</f>
        <v/>
      </c>
    </row>
    <row r="247">
      <c r="D247" s="115" t="n"/>
      <c r="H247" s="115" t="n"/>
      <c r="I247" s="115" t="n"/>
      <c r="L247" s="116" t="n"/>
      <c r="N247" s="117">
        <f>IF(AND(L247&lt;&gt;"",F247&gt;0),L247/F247,"")</f>
        <v/>
      </c>
      <c r="R247" s="121">
        <f>IF(D247&lt;&gt;"",IF(MONTH(D247)=MONTH(TODAY()),"🎂 Este mês!",""),"")</f>
        <v/>
      </c>
    </row>
    <row r="248">
      <c r="D248" s="115" t="n"/>
      <c r="H248" s="115" t="n"/>
      <c r="I248" s="115" t="n"/>
      <c r="L248" s="116" t="n"/>
      <c r="N248" s="117">
        <f>IF(AND(L248&lt;&gt;"",F248&gt;0),L248/F248,"")</f>
        <v/>
      </c>
      <c r="R248" s="121">
        <f>IF(D248&lt;&gt;"",IF(MONTH(D248)=MONTH(TODAY()),"🎂 Este mês!",""),"")</f>
        <v/>
      </c>
    </row>
    <row r="249">
      <c r="D249" s="115" t="n"/>
      <c r="H249" s="115" t="n"/>
      <c r="I249" s="115" t="n"/>
      <c r="L249" s="116" t="n"/>
      <c r="N249" s="117">
        <f>IF(AND(L249&lt;&gt;"",F249&gt;0),L249/F249,"")</f>
        <v/>
      </c>
      <c r="R249" s="121">
        <f>IF(D249&lt;&gt;"",IF(MONTH(D249)=MONTH(TODAY()),"🎂 Este mês!",""),"")</f>
        <v/>
      </c>
    </row>
    <row r="250">
      <c r="D250" s="115" t="n"/>
      <c r="H250" s="115" t="n"/>
      <c r="I250" s="115" t="n"/>
      <c r="L250" s="116" t="n"/>
      <c r="N250" s="117">
        <f>IF(AND(L250&lt;&gt;"",F250&gt;0),L250/F250,"")</f>
        <v/>
      </c>
      <c r="R250" s="121">
        <f>IF(D250&lt;&gt;"",IF(MONTH(D250)=MONTH(TODAY()),"🎂 Este mês!",""),"")</f>
        <v/>
      </c>
    </row>
    <row r="251">
      <c r="D251" s="115" t="n"/>
      <c r="H251" s="115" t="n"/>
      <c r="I251" s="115" t="n"/>
      <c r="L251" s="116" t="n"/>
      <c r="N251" s="117">
        <f>IF(AND(L251&lt;&gt;"",F251&gt;0),L251/F251,"")</f>
        <v/>
      </c>
      <c r="R251" s="121">
        <f>IF(D251&lt;&gt;"",IF(MONTH(D251)=MONTH(TODAY()),"🎂 Este mês!",""),"")</f>
        <v/>
      </c>
    </row>
    <row r="252">
      <c r="D252" s="115" t="n"/>
      <c r="H252" s="115" t="n"/>
      <c r="I252" s="115" t="n"/>
      <c r="L252" s="116" t="n"/>
      <c r="N252" s="117">
        <f>IF(AND(L252&lt;&gt;"",F252&gt;0),L252/F252,"")</f>
        <v/>
      </c>
      <c r="R252" s="121">
        <f>IF(D252&lt;&gt;"",IF(MONTH(D252)=MONTH(TODAY()),"🎂 Este mês!",""),"")</f>
        <v/>
      </c>
    </row>
    <row r="253">
      <c r="D253" s="115" t="n"/>
      <c r="H253" s="115" t="n"/>
      <c r="I253" s="115" t="n"/>
      <c r="L253" s="116" t="n"/>
      <c r="N253" s="117">
        <f>IF(AND(L253&lt;&gt;"",F253&gt;0),L253/F253,"")</f>
        <v/>
      </c>
      <c r="R253" s="121">
        <f>IF(D253&lt;&gt;"",IF(MONTH(D253)=MONTH(TODAY()),"🎂 Este mês!",""),"")</f>
        <v/>
      </c>
    </row>
    <row r="254">
      <c r="D254" s="115" t="n"/>
      <c r="H254" s="115" t="n"/>
      <c r="I254" s="115" t="n"/>
      <c r="L254" s="116" t="n"/>
      <c r="N254" s="117">
        <f>IF(AND(L254&lt;&gt;"",F254&gt;0),L254/F254,"")</f>
        <v/>
      </c>
      <c r="R254" s="121">
        <f>IF(D254&lt;&gt;"",IF(MONTH(D254)=MONTH(TODAY()),"🎂 Este mês!",""),"")</f>
        <v/>
      </c>
    </row>
    <row r="255">
      <c r="D255" s="115" t="n"/>
      <c r="H255" s="115" t="n"/>
      <c r="I255" s="115" t="n"/>
      <c r="L255" s="116" t="n"/>
      <c r="N255" s="117">
        <f>IF(AND(L255&lt;&gt;"",F255&gt;0),L255/F255,"")</f>
        <v/>
      </c>
      <c r="R255" s="121">
        <f>IF(D255&lt;&gt;"",IF(MONTH(D255)=MONTH(TODAY()),"🎂 Este mês!",""),"")</f>
        <v/>
      </c>
    </row>
    <row r="256">
      <c r="D256" s="115" t="n"/>
      <c r="H256" s="115" t="n"/>
      <c r="I256" s="115" t="n"/>
      <c r="L256" s="116" t="n"/>
      <c r="N256" s="117">
        <f>IF(AND(L256&lt;&gt;"",F256&gt;0),L256/F256,"")</f>
        <v/>
      </c>
      <c r="R256" s="121">
        <f>IF(D256&lt;&gt;"",IF(MONTH(D256)=MONTH(TODAY()),"🎂 Este mês!",""),"")</f>
        <v/>
      </c>
    </row>
    <row r="257">
      <c r="D257" s="115" t="n"/>
      <c r="H257" s="115" t="n"/>
      <c r="I257" s="115" t="n"/>
      <c r="L257" s="116" t="n"/>
      <c r="N257" s="117">
        <f>IF(AND(L257&lt;&gt;"",F257&gt;0),L257/F257,"")</f>
        <v/>
      </c>
      <c r="R257" s="121">
        <f>IF(D257&lt;&gt;"",IF(MONTH(D257)=MONTH(TODAY()),"🎂 Este mês!",""),"")</f>
        <v/>
      </c>
    </row>
    <row r="258">
      <c r="D258" s="115" t="n"/>
      <c r="H258" s="115" t="n"/>
      <c r="I258" s="115" t="n"/>
      <c r="L258" s="116" t="n"/>
      <c r="N258" s="117">
        <f>IF(AND(L258&lt;&gt;"",F258&gt;0),L258/F258,"")</f>
        <v/>
      </c>
      <c r="R258" s="121">
        <f>IF(D258&lt;&gt;"",IF(MONTH(D258)=MONTH(TODAY()),"🎂 Este mês!",""),"")</f>
        <v/>
      </c>
    </row>
    <row r="259">
      <c r="D259" s="115" t="n"/>
      <c r="H259" s="115" t="n"/>
      <c r="I259" s="115" t="n"/>
      <c r="L259" s="116" t="n"/>
      <c r="N259" s="117">
        <f>IF(AND(L259&lt;&gt;"",F259&gt;0),L259/F259,"")</f>
        <v/>
      </c>
      <c r="R259" s="121">
        <f>IF(D259&lt;&gt;"",IF(MONTH(D259)=MONTH(TODAY()),"🎂 Este mês!",""),"")</f>
        <v/>
      </c>
    </row>
    <row r="260">
      <c r="D260" s="115" t="n"/>
      <c r="H260" s="115" t="n"/>
      <c r="I260" s="115" t="n"/>
      <c r="L260" s="116" t="n"/>
      <c r="N260" s="117">
        <f>IF(AND(L260&lt;&gt;"",F260&gt;0),L260/F260,"")</f>
        <v/>
      </c>
      <c r="R260" s="121">
        <f>IF(D260&lt;&gt;"",IF(MONTH(D260)=MONTH(TODAY()),"🎂 Este mês!",""),"")</f>
        <v/>
      </c>
    </row>
    <row r="261">
      <c r="D261" s="115" t="n"/>
      <c r="H261" s="115" t="n"/>
      <c r="I261" s="115" t="n"/>
      <c r="L261" s="116" t="n"/>
      <c r="N261" s="117">
        <f>IF(AND(L261&lt;&gt;"",F261&gt;0),L261/F261,"")</f>
        <v/>
      </c>
      <c r="R261" s="121">
        <f>IF(D261&lt;&gt;"",IF(MONTH(D261)=MONTH(TODAY()),"🎂 Este mês!",""),"")</f>
        <v/>
      </c>
    </row>
    <row r="262">
      <c r="D262" s="115" t="n"/>
      <c r="H262" s="115" t="n"/>
      <c r="I262" s="115" t="n"/>
      <c r="L262" s="116" t="n"/>
      <c r="N262" s="117">
        <f>IF(AND(L262&lt;&gt;"",F262&gt;0),L262/F262,"")</f>
        <v/>
      </c>
      <c r="R262" s="121">
        <f>IF(D262&lt;&gt;"",IF(MONTH(D262)=MONTH(TODAY()),"🎂 Este mês!",""),"")</f>
        <v/>
      </c>
    </row>
    <row r="263">
      <c r="D263" s="115" t="n"/>
      <c r="H263" s="115" t="n"/>
      <c r="I263" s="115" t="n"/>
      <c r="L263" s="116" t="n"/>
      <c r="N263" s="117">
        <f>IF(AND(L263&lt;&gt;"",F263&gt;0),L263/F263,"")</f>
        <v/>
      </c>
      <c r="R263" s="121">
        <f>IF(D263&lt;&gt;"",IF(MONTH(D263)=MONTH(TODAY()),"🎂 Este mês!",""),"")</f>
        <v/>
      </c>
    </row>
    <row r="264">
      <c r="D264" s="115" t="n"/>
      <c r="H264" s="115" t="n"/>
      <c r="I264" s="115" t="n"/>
      <c r="L264" s="116" t="n"/>
      <c r="N264" s="117">
        <f>IF(AND(L264&lt;&gt;"",F264&gt;0),L264/F264,"")</f>
        <v/>
      </c>
      <c r="R264" s="121">
        <f>IF(D264&lt;&gt;"",IF(MONTH(D264)=MONTH(TODAY()),"🎂 Este mês!",""),"")</f>
        <v/>
      </c>
    </row>
    <row r="265">
      <c r="D265" s="115" t="n"/>
      <c r="H265" s="115" t="n"/>
      <c r="I265" s="115" t="n"/>
      <c r="L265" s="116" t="n"/>
      <c r="N265" s="117">
        <f>IF(AND(L265&lt;&gt;"",F265&gt;0),L265/F265,"")</f>
        <v/>
      </c>
      <c r="R265" s="121">
        <f>IF(D265&lt;&gt;"",IF(MONTH(D265)=MONTH(TODAY()),"🎂 Este mês!",""),"")</f>
        <v/>
      </c>
    </row>
    <row r="266">
      <c r="D266" s="115" t="n"/>
      <c r="H266" s="115" t="n"/>
      <c r="I266" s="115" t="n"/>
      <c r="L266" s="116" t="n"/>
      <c r="N266" s="117">
        <f>IF(AND(L266&lt;&gt;"",F266&gt;0),L266/F266,"")</f>
        <v/>
      </c>
      <c r="R266" s="121">
        <f>IF(D266&lt;&gt;"",IF(MONTH(D266)=MONTH(TODAY()),"🎂 Este mês!",""),"")</f>
        <v/>
      </c>
    </row>
    <row r="267">
      <c r="D267" s="115" t="n"/>
      <c r="H267" s="115" t="n"/>
      <c r="I267" s="115" t="n"/>
      <c r="L267" s="116" t="n"/>
      <c r="N267" s="117">
        <f>IF(AND(L267&lt;&gt;"",F267&gt;0),L267/F267,"")</f>
        <v/>
      </c>
      <c r="R267" s="121">
        <f>IF(D267&lt;&gt;"",IF(MONTH(D267)=MONTH(TODAY()),"🎂 Este mês!",""),"")</f>
        <v/>
      </c>
    </row>
    <row r="268">
      <c r="D268" s="115" t="n"/>
      <c r="H268" s="115" t="n"/>
      <c r="I268" s="115" t="n"/>
      <c r="L268" s="116" t="n"/>
      <c r="N268" s="117">
        <f>IF(AND(L268&lt;&gt;"",F268&gt;0),L268/F268,"")</f>
        <v/>
      </c>
      <c r="R268" s="121">
        <f>IF(D268&lt;&gt;"",IF(MONTH(D268)=MONTH(TODAY()),"🎂 Este mês!",""),"")</f>
        <v/>
      </c>
    </row>
    <row r="269">
      <c r="D269" s="115" t="n"/>
      <c r="H269" s="115" t="n"/>
      <c r="I269" s="115" t="n"/>
      <c r="L269" s="116" t="n"/>
      <c r="N269" s="117">
        <f>IF(AND(L269&lt;&gt;"",F269&gt;0),L269/F269,"")</f>
        <v/>
      </c>
      <c r="R269" s="121">
        <f>IF(D269&lt;&gt;"",IF(MONTH(D269)=MONTH(TODAY()),"🎂 Este mês!",""),"")</f>
        <v/>
      </c>
    </row>
    <row r="270">
      <c r="D270" s="115" t="n"/>
      <c r="H270" s="115" t="n"/>
      <c r="I270" s="115" t="n"/>
      <c r="L270" s="116" t="n"/>
      <c r="N270" s="117">
        <f>IF(AND(L270&lt;&gt;"",F270&gt;0),L270/F270,"")</f>
        <v/>
      </c>
      <c r="R270" s="121">
        <f>IF(D270&lt;&gt;"",IF(MONTH(D270)=MONTH(TODAY()),"🎂 Este mês!",""),"")</f>
        <v/>
      </c>
    </row>
    <row r="271">
      <c r="D271" s="115" t="n"/>
      <c r="H271" s="115" t="n"/>
      <c r="I271" s="115" t="n"/>
      <c r="L271" s="116" t="n"/>
      <c r="N271" s="117">
        <f>IF(AND(L271&lt;&gt;"",F271&gt;0),L271/F271,"")</f>
        <v/>
      </c>
      <c r="R271" s="121">
        <f>IF(D271&lt;&gt;"",IF(MONTH(D271)=MONTH(TODAY()),"🎂 Este mês!",""),"")</f>
        <v/>
      </c>
    </row>
    <row r="272">
      <c r="D272" s="115" t="n"/>
      <c r="H272" s="115" t="n"/>
      <c r="I272" s="115" t="n"/>
      <c r="L272" s="116" t="n"/>
      <c r="N272" s="117">
        <f>IF(AND(L272&lt;&gt;"",F272&gt;0),L272/F272,"")</f>
        <v/>
      </c>
      <c r="R272" s="121">
        <f>IF(D272&lt;&gt;"",IF(MONTH(D272)=MONTH(TODAY()),"🎂 Este mês!",""),"")</f>
        <v/>
      </c>
    </row>
    <row r="273">
      <c r="D273" s="115" t="n"/>
      <c r="H273" s="115" t="n"/>
      <c r="I273" s="115" t="n"/>
      <c r="L273" s="116" t="n"/>
      <c r="N273" s="117">
        <f>IF(AND(L273&lt;&gt;"",F273&gt;0),L273/F273,"")</f>
        <v/>
      </c>
      <c r="R273" s="121">
        <f>IF(D273&lt;&gt;"",IF(MONTH(D273)=MONTH(TODAY()),"🎂 Este mês!",""),"")</f>
        <v/>
      </c>
    </row>
    <row r="274">
      <c r="D274" s="115" t="n"/>
      <c r="H274" s="115" t="n"/>
      <c r="I274" s="115" t="n"/>
      <c r="L274" s="116" t="n"/>
      <c r="N274" s="117">
        <f>IF(AND(L274&lt;&gt;"",F274&gt;0),L274/F274,"")</f>
        <v/>
      </c>
      <c r="R274" s="121">
        <f>IF(D274&lt;&gt;"",IF(MONTH(D274)=MONTH(TODAY()),"🎂 Este mês!",""),"")</f>
        <v/>
      </c>
    </row>
    <row r="275">
      <c r="D275" s="115" t="n"/>
      <c r="H275" s="115" t="n"/>
      <c r="I275" s="115" t="n"/>
      <c r="L275" s="116" t="n"/>
      <c r="N275" s="117">
        <f>IF(AND(L275&lt;&gt;"",F275&gt;0),L275/F275,"")</f>
        <v/>
      </c>
      <c r="R275" s="121">
        <f>IF(D275&lt;&gt;"",IF(MONTH(D275)=MONTH(TODAY()),"🎂 Este mês!",""),"")</f>
        <v/>
      </c>
    </row>
    <row r="276">
      <c r="D276" s="115" t="n"/>
      <c r="H276" s="115" t="n"/>
      <c r="I276" s="115" t="n"/>
      <c r="L276" s="116" t="n"/>
      <c r="N276" s="117">
        <f>IF(AND(L276&lt;&gt;"",F276&gt;0),L276/F276,"")</f>
        <v/>
      </c>
      <c r="R276" s="121">
        <f>IF(D276&lt;&gt;"",IF(MONTH(D276)=MONTH(TODAY()),"🎂 Este mês!",""),"")</f>
        <v/>
      </c>
    </row>
    <row r="277">
      <c r="D277" s="115" t="n"/>
      <c r="H277" s="115" t="n"/>
      <c r="I277" s="115" t="n"/>
      <c r="L277" s="116" t="n"/>
      <c r="N277" s="117">
        <f>IF(AND(L277&lt;&gt;"",F277&gt;0),L277/F277,"")</f>
        <v/>
      </c>
      <c r="R277" s="121">
        <f>IF(D277&lt;&gt;"",IF(MONTH(D277)=MONTH(TODAY()),"🎂 Este mês!",""),"")</f>
        <v/>
      </c>
    </row>
    <row r="278">
      <c r="D278" s="115" t="n"/>
      <c r="H278" s="115" t="n"/>
      <c r="I278" s="115" t="n"/>
      <c r="L278" s="116" t="n"/>
      <c r="N278" s="117">
        <f>IF(AND(L278&lt;&gt;"",F278&gt;0),L278/F278,"")</f>
        <v/>
      </c>
      <c r="R278" s="121">
        <f>IF(D278&lt;&gt;"",IF(MONTH(D278)=MONTH(TODAY()),"🎂 Este mês!",""),"")</f>
        <v/>
      </c>
    </row>
    <row r="279">
      <c r="D279" s="115" t="n"/>
      <c r="H279" s="115" t="n"/>
      <c r="I279" s="115" t="n"/>
      <c r="L279" s="116" t="n"/>
      <c r="N279" s="117">
        <f>IF(AND(L279&lt;&gt;"",F279&gt;0),L279/F279,"")</f>
        <v/>
      </c>
      <c r="R279" s="121">
        <f>IF(D279&lt;&gt;"",IF(MONTH(D279)=MONTH(TODAY()),"🎂 Este mês!",""),"")</f>
        <v/>
      </c>
    </row>
    <row r="280">
      <c r="D280" s="115" t="n"/>
      <c r="H280" s="115" t="n"/>
      <c r="I280" s="115" t="n"/>
      <c r="L280" s="116" t="n"/>
      <c r="N280" s="117">
        <f>IF(AND(L280&lt;&gt;"",F280&gt;0),L280/F280,"")</f>
        <v/>
      </c>
      <c r="R280" s="121">
        <f>IF(D280&lt;&gt;"",IF(MONTH(D280)=MONTH(TODAY()),"🎂 Este mês!",""),"")</f>
        <v/>
      </c>
    </row>
    <row r="281">
      <c r="D281" s="115" t="n"/>
      <c r="H281" s="115" t="n"/>
      <c r="I281" s="115" t="n"/>
      <c r="L281" s="116" t="n"/>
      <c r="N281" s="117">
        <f>IF(AND(L281&lt;&gt;"",F281&gt;0),L281/F281,"")</f>
        <v/>
      </c>
      <c r="R281" s="121">
        <f>IF(D281&lt;&gt;"",IF(MONTH(D281)=MONTH(TODAY()),"🎂 Este mês!",""),"")</f>
        <v/>
      </c>
    </row>
    <row r="282">
      <c r="D282" s="115" t="n"/>
      <c r="H282" s="115" t="n"/>
      <c r="I282" s="115" t="n"/>
      <c r="L282" s="116" t="n"/>
      <c r="N282" s="117">
        <f>IF(AND(L282&lt;&gt;"",F282&gt;0),L282/F282,"")</f>
        <v/>
      </c>
      <c r="R282" s="121">
        <f>IF(D282&lt;&gt;"",IF(MONTH(D282)=MONTH(TODAY()),"🎂 Este mês!",""),"")</f>
        <v/>
      </c>
    </row>
    <row r="283">
      <c r="D283" s="115" t="n"/>
      <c r="H283" s="115" t="n"/>
      <c r="I283" s="115" t="n"/>
      <c r="L283" s="116" t="n"/>
      <c r="N283" s="117">
        <f>IF(AND(L283&lt;&gt;"",F283&gt;0),L283/F283,"")</f>
        <v/>
      </c>
      <c r="R283" s="121">
        <f>IF(D283&lt;&gt;"",IF(MONTH(D283)=MONTH(TODAY()),"🎂 Este mês!",""),"")</f>
        <v/>
      </c>
    </row>
    <row r="284">
      <c r="D284" s="115" t="n"/>
      <c r="H284" s="115" t="n"/>
      <c r="I284" s="115" t="n"/>
      <c r="L284" s="116" t="n"/>
      <c r="N284" s="117">
        <f>IF(AND(L284&lt;&gt;"",F284&gt;0),L284/F284,"")</f>
        <v/>
      </c>
      <c r="R284" s="121">
        <f>IF(D284&lt;&gt;"",IF(MONTH(D284)=MONTH(TODAY()),"🎂 Este mês!",""),"")</f>
        <v/>
      </c>
    </row>
    <row r="285">
      <c r="D285" s="115" t="n"/>
      <c r="H285" s="115" t="n"/>
      <c r="I285" s="115" t="n"/>
      <c r="L285" s="116" t="n"/>
      <c r="N285" s="117">
        <f>IF(AND(L285&lt;&gt;"",F285&gt;0),L285/F285,"")</f>
        <v/>
      </c>
      <c r="R285" s="121">
        <f>IF(D285&lt;&gt;"",IF(MONTH(D285)=MONTH(TODAY()),"🎂 Este mês!",""),"")</f>
        <v/>
      </c>
    </row>
    <row r="286">
      <c r="D286" s="115" t="n"/>
      <c r="H286" s="115" t="n"/>
      <c r="I286" s="115" t="n"/>
      <c r="L286" s="116" t="n"/>
      <c r="N286" s="117">
        <f>IF(AND(L286&lt;&gt;"",F286&gt;0),L286/F286,"")</f>
        <v/>
      </c>
      <c r="R286" s="121">
        <f>IF(D286&lt;&gt;"",IF(MONTH(D286)=MONTH(TODAY()),"🎂 Este mês!",""),"")</f>
        <v/>
      </c>
    </row>
    <row r="287">
      <c r="D287" s="115" t="n"/>
      <c r="H287" s="115" t="n"/>
      <c r="I287" s="115" t="n"/>
      <c r="L287" s="116" t="n"/>
      <c r="N287" s="117">
        <f>IF(AND(L287&lt;&gt;"",F287&gt;0),L287/F287,"")</f>
        <v/>
      </c>
      <c r="R287" s="121">
        <f>IF(D287&lt;&gt;"",IF(MONTH(D287)=MONTH(TODAY()),"🎂 Este mês!",""),"")</f>
        <v/>
      </c>
    </row>
    <row r="288">
      <c r="D288" s="115" t="n"/>
      <c r="H288" s="115" t="n"/>
      <c r="I288" s="115" t="n"/>
      <c r="L288" s="116" t="n"/>
      <c r="N288" s="117">
        <f>IF(AND(L288&lt;&gt;"",F288&gt;0),L288/F288,"")</f>
        <v/>
      </c>
      <c r="R288" s="121">
        <f>IF(D288&lt;&gt;"",IF(MONTH(D288)=MONTH(TODAY()),"🎂 Este mês!",""),"")</f>
        <v/>
      </c>
    </row>
    <row r="289">
      <c r="D289" s="115" t="n"/>
      <c r="H289" s="115" t="n"/>
      <c r="I289" s="115" t="n"/>
      <c r="L289" s="116" t="n"/>
      <c r="N289" s="117">
        <f>IF(AND(L289&lt;&gt;"",F289&gt;0),L289/F289,"")</f>
        <v/>
      </c>
      <c r="R289" s="121">
        <f>IF(D289&lt;&gt;"",IF(MONTH(D289)=MONTH(TODAY()),"🎂 Este mês!",""),"")</f>
        <v/>
      </c>
    </row>
    <row r="290">
      <c r="D290" s="115" t="n"/>
      <c r="H290" s="115" t="n"/>
      <c r="I290" s="115" t="n"/>
      <c r="L290" s="116" t="n"/>
      <c r="N290" s="117">
        <f>IF(AND(L290&lt;&gt;"",F290&gt;0),L290/F290,"")</f>
        <v/>
      </c>
      <c r="R290" s="121">
        <f>IF(D290&lt;&gt;"",IF(MONTH(D290)=MONTH(TODAY()),"🎂 Este mês!",""),"")</f>
        <v/>
      </c>
    </row>
    <row r="291">
      <c r="D291" s="115" t="n"/>
      <c r="H291" s="115" t="n"/>
      <c r="I291" s="115" t="n"/>
      <c r="L291" s="116" t="n"/>
      <c r="N291" s="117">
        <f>IF(AND(L291&lt;&gt;"",F291&gt;0),L291/F291,"")</f>
        <v/>
      </c>
      <c r="R291" s="121">
        <f>IF(D291&lt;&gt;"",IF(MONTH(D291)=MONTH(TODAY()),"🎂 Este mês!",""),"")</f>
        <v/>
      </c>
    </row>
    <row r="292">
      <c r="D292" s="115" t="n"/>
      <c r="H292" s="115" t="n"/>
      <c r="I292" s="115" t="n"/>
      <c r="L292" s="116" t="n"/>
      <c r="N292" s="117">
        <f>IF(AND(L292&lt;&gt;"",F292&gt;0),L292/F292,"")</f>
        <v/>
      </c>
      <c r="R292" s="121">
        <f>IF(D292&lt;&gt;"",IF(MONTH(D292)=MONTH(TODAY()),"🎂 Este mês!",""),"")</f>
        <v/>
      </c>
    </row>
    <row r="293">
      <c r="D293" s="115" t="n"/>
      <c r="H293" s="115" t="n"/>
      <c r="I293" s="115" t="n"/>
      <c r="L293" s="116" t="n"/>
      <c r="N293" s="117">
        <f>IF(AND(L293&lt;&gt;"",F293&gt;0),L293/F293,"")</f>
        <v/>
      </c>
      <c r="R293" s="121">
        <f>IF(D293&lt;&gt;"",IF(MONTH(D293)=MONTH(TODAY()),"🎂 Este mês!",""),"")</f>
        <v/>
      </c>
    </row>
    <row r="294">
      <c r="D294" s="115" t="n"/>
      <c r="H294" s="115" t="n"/>
      <c r="I294" s="115" t="n"/>
      <c r="L294" s="116" t="n"/>
      <c r="N294" s="117">
        <f>IF(AND(L294&lt;&gt;"",F294&gt;0),L294/F294,"")</f>
        <v/>
      </c>
      <c r="R294" s="121">
        <f>IF(D294&lt;&gt;"",IF(MONTH(D294)=MONTH(TODAY()),"🎂 Este mês!",""),"")</f>
        <v/>
      </c>
    </row>
    <row r="295">
      <c r="D295" s="115" t="n"/>
      <c r="H295" s="115" t="n"/>
      <c r="I295" s="115" t="n"/>
      <c r="L295" s="116" t="n"/>
      <c r="N295" s="117">
        <f>IF(AND(L295&lt;&gt;"",F295&gt;0),L295/F295,"")</f>
        <v/>
      </c>
      <c r="R295" s="121">
        <f>IF(D295&lt;&gt;"",IF(MONTH(D295)=MONTH(TODAY()),"🎂 Este mês!",""),"")</f>
        <v/>
      </c>
    </row>
    <row r="296">
      <c r="D296" s="115" t="n"/>
      <c r="H296" s="115" t="n"/>
      <c r="I296" s="115" t="n"/>
      <c r="L296" s="116" t="n"/>
      <c r="N296" s="117">
        <f>IF(AND(L296&lt;&gt;"",F296&gt;0),L296/F296,"")</f>
        <v/>
      </c>
      <c r="R296" s="121">
        <f>IF(D296&lt;&gt;"",IF(MONTH(D296)=MONTH(TODAY()),"🎂 Este mês!",""),"")</f>
        <v/>
      </c>
    </row>
    <row r="297">
      <c r="D297" s="115" t="n"/>
      <c r="H297" s="115" t="n"/>
      <c r="I297" s="115" t="n"/>
      <c r="L297" s="116" t="n"/>
      <c r="N297" s="117">
        <f>IF(AND(L297&lt;&gt;"",F297&gt;0),L297/F297,"")</f>
        <v/>
      </c>
      <c r="R297" s="121">
        <f>IF(D297&lt;&gt;"",IF(MONTH(D297)=MONTH(TODAY()),"🎂 Este mês!",""),"")</f>
        <v/>
      </c>
    </row>
    <row r="298">
      <c r="D298" s="115" t="n"/>
      <c r="H298" s="115" t="n"/>
      <c r="I298" s="115" t="n"/>
      <c r="L298" s="116" t="n"/>
      <c r="N298" s="117">
        <f>IF(AND(L298&lt;&gt;"",F298&gt;0),L298/F298,"")</f>
        <v/>
      </c>
      <c r="R298" s="121">
        <f>IF(D298&lt;&gt;"",IF(MONTH(D298)=MONTH(TODAY()),"🎂 Este mês!",""),"")</f>
        <v/>
      </c>
    </row>
    <row r="299">
      <c r="D299" s="115" t="n"/>
      <c r="H299" s="115" t="n"/>
      <c r="I299" s="115" t="n"/>
      <c r="L299" s="116" t="n"/>
      <c r="N299" s="117">
        <f>IF(AND(L299&lt;&gt;"",F299&gt;0),L299/F299,"")</f>
        <v/>
      </c>
      <c r="R299" s="121">
        <f>IF(D299&lt;&gt;"",IF(MONTH(D299)=MONTH(TODAY()),"🎂 Este mês!",""),"")</f>
        <v/>
      </c>
    </row>
    <row r="300">
      <c r="D300" s="115" t="n"/>
      <c r="H300" s="115" t="n"/>
      <c r="I300" s="115" t="n"/>
      <c r="L300" s="116" t="n"/>
      <c r="N300" s="117">
        <f>IF(AND(L300&lt;&gt;"",F300&gt;0),L300/F300,"")</f>
        <v/>
      </c>
      <c r="R300" s="121">
        <f>IF(D300&lt;&gt;"",IF(MONTH(D300)=MONTH(TODAY()),"🎂 Este mês!",""),"")</f>
        <v/>
      </c>
    </row>
    <row r="301">
      <c r="D301" s="115" t="n"/>
      <c r="H301" s="115" t="n"/>
      <c r="I301" s="115" t="n"/>
      <c r="L301" s="116" t="n"/>
      <c r="N301" s="117">
        <f>IF(AND(L301&lt;&gt;"",F301&gt;0),L301/F301,"")</f>
        <v/>
      </c>
      <c r="R301" s="121">
        <f>IF(D301&lt;&gt;"",IF(MONTH(D301)=MONTH(TODAY()),"🎂 Este mês!",""),"")</f>
        <v/>
      </c>
    </row>
    <row r="302">
      <c r="D302" s="115" t="n"/>
      <c r="H302" s="115" t="n"/>
      <c r="I302" s="115" t="n"/>
      <c r="L302" s="116" t="n"/>
      <c r="N302" s="117">
        <f>IF(AND(L302&lt;&gt;"",F302&gt;0),L302/F302,"")</f>
        <v/>
      </c>
      <c r="R302" s="121">
        <f>IF(D302&lt;&gt;"",IF(MONTH(D302)=MONTH(TODAY()),"🎂 Este mês!",""),"")</f>
        <v/>
      </c>
    </row>
    <row r="303">
      <c r="D303" s="115" t="n"/>
      <c r="H303" s="115" t="n"/>
      <c r="I303" s="115" t="n"/>
      <c r="L303" s="116" t="n"/>
      <c r="N303" s="117">
        <f>IF(AND(L303&lt;&gt;"",F303&gt;0),L303/F303,"")</f>
        <v/>
      </c>
      <c r="R303" s="121">
        <f>IF(D303&lt;&gt;"",IF(MONTH(D303)=MONTH(TODAY()),"🎂 Este mês!",""),"")</f>
        <v/>
      </c>
    </row>
    <row r="304">
      <c r="D304" s="115" t="n"/>
      <c r="H304" s="115" t="n"/>
      <c r="I304" s="115" t="n"/>
      <c r="L304" s="116" t="n"/>
      <c r="N304" s="117">
        <f>IF(AND(L304&lt;&gt;"",F304&gt;0),L304/F304,"")</f>
        <v/>
      </c>
      <c r="R304" s="121">
        <f>IF(D304&lt;&gt;"",IF(MONTH(D304)=MONTH(TODAY()),"🎂 Este mês!",""),"")</f>
        <v/>
      </c>
    </row>
    <row r="305">
      <c r="D305" s="115" t="n"/>
      <c r="H305" s="115" t="n"/>
      <c r="I305" s="115" t="n"/>
      <c r="L305" s="116" t="n"/>
      <c r="N305" s="117">
        <f>IF(AND(L305&lt;&gt;"",F305&gt;0),L305/F305,"")</f>
        <v/>
      </c>
      <c r="R305" s="121">
        <f>IF(D305&lt;&gt;"",IF(MONTH(D305)=MONTH(TODAY()),"🎂 Este mês!",""),"")</f>
        <v/>
      </c>
    </row>
    <row r="306">
      <c r="D306" s="115" t="n"/>
      <c r="H306" s="115" t="n"/>
      <c r="I306" s="115" t="n"/>
      <c r="L306" s="116" t="n"/>
      <c r="N306" s="117">
        <f>IF(AND(L306&lt;&gt;"",F306&gt;0),L306/F306,"")</f>
        <v/>
      </c>
      <c r="R306" s="121">
        <f>IF(D306&lt;&gt;"",IF(MONTH(D306)=MONTH(TODAY()),"🎂 Este mês!",""),"")</f>
        <v/>
      </c>
    </row>
    <row r="307">
      <c r="D307" s="115" t="n"/>
      <c r="H307" s="115" t="n"/>
      <c r="I307" s="115" t="n"/>
      <c r="L307" s="116" t="n"/>
      <c r="N307" s="117">
        <f>IF(AND(L307&lt;&gt;"",F307&gt;0),L307/F307,"")</f>
        <v/>
      </c>
      <c r="R307" s="121">
        <f>IF(D307&lt;&gt;"",IF(MONTH(D307)=MONTH(TODAY()),"🎂 Este mês!",""),"")</f>
        <v/>
      </c>
    </row>
    <row r="308">
      <c r="D308" s="115" t="n"/>
      <c r="H308" s="115" t="n"/>
      <c r="I308" s="115" t="n"/>
      <c r="L308" s="116" t="n"/>
      <c r="N308" s="117">
        <f>IF(AND(L308&lt;&gt;"",F308&gt;0),L308/F308,"")</f>
        <v/>
      </c>
      <c r="R308" s="121">
        <f>IF(D308&lt;&gt;"",IF(MONTH(D308)=MONTH(TODAY()),"🎂 Este mês!",""),"")</f>
        <v/>
      </c>
    </row>
    <row r="309">
      <c r="D309" s="115" t="n"/>
      <c r="H309" s="115" t="n"/>
      <c r="I309" s="115" t="n"/>
      <c r="L309" s="116" t="n"/>
      <c r="N309" s="117">
        <f>IF(AND(L309&lt;&gt;"",F309&gt;0),L309/F309,"")</f>
        <v/>
      </c>
      <c r="R309" s="121">
        <f>IF(D309&lt;&gt;"",IF(MONTH(D309)=MONTH(TODAY()),"🎂 Este mês!",""),"")</f>
        <v/>
      </c>
    </row>
    <row r="310">
      <c r="D310" s="115" t="n"/>
      <c r="H310" s="115" t="n"/>
      <c r="I310" s="115" t="n"/>
      <c r="L310" s="116" t="n"/>
      <c r="N310" s="117">
        <f>IF(AND(L310&lt;&gt;"",F310&gt;0),L310/F310,"")</f>
        <v/>
      </c>
      <c r="R310" s="121">
        <f>IF(D310&lt;&gt;"",IF(MONTH(D310)=MONTH(TODAY()),"🎂 Este mês!",""),"")</f>
        <v/>
      </c>
    </row>
    <row r="311">
      <c r="D311" s="115" t="n"/>
      <c r="H311" s="115" t="n"/>
      <c r="I311" s="115" t="n"/>
      <c r="L311" s="116" t="n"/>
      <c r="N311" s="117">
        <f>IF(AND(L311&lt;&gt;"",F311&gt;0),L311/F311,"")</f>
        <v/>
      </c>
      <c r="R311" s="121">
        <f>IF(D311&lt;&gt;"",IF(MONTH(D311)=MONTH(TODAY()),"🎂 Este mês!",""),"")</f>
        <v/>
      </c>
    </row>
    <row r="312">
      <c r="D312" s="115" t="n"/>
      <c r="H312" s="115" t="n"/>
      <c r="I312" s="115" t="n"/>
      <c r="L312" s="116" t="n"/>
      <c r="N312" s="117">
        <f>IF(AND(L312&lt;&gt;"",F312&gt;0),L312/F312,"")</f>
        <v/>
      </c>
      <c r="R312" s="121">
        <f>IF(D312&lt;&gt;"",IF(MONTH(D312)=MONTH(TODAY()),"🎂 Este mês!",""),"")</f>
        <v/>
      </c>
    </row>
    <row r="313">
      <c r="D313" s="115" t="n"/>
      <c r="H313" s="115" t="n"/>
      <c r="I313" s="115" t="n"/>
      <c r="L313" s="116" t="n"/>
      <c r="N313" s="117">
        <f>IF(AND(L313&lt;&gt;"",F313&gt;0),L313/F313,"")</f>
        <v/>
      </c>
      <c r="R313" s="121">
        <f>IF(D313&lt;&gt;"",IF(MONTH(D313)=MONTH(TODAY()),"🎂 Este mês!",""),"")</f>
        <v/>
      </c>
    </row>
    <row r="314">
      <c r="D314" s="115" t="n"/>
      <c r="H314" s="115" t="n"/>
      <c r="I314" s="115" t="n"/>
      <c r="L314" s="116" t="n"/>
      <c r="N314" s="117">
        <f>IF(AND(L314&lt;&gt;"",F314&gt;0),L314/F314,"")</f>
        <v/>
      </c>
      <c r="R314" s="121">
        <f>IF(D314&lt;&gt;"",IF(MONTH(D314)=MONTH(TODAY()),"🎂 Este mês!",""),"")</f>
        <v/>
      </c>
    </row>
    <row r="315">
      <c r="D315" s="115" t="n"/>
      <c r="H315" s="115" t="n"/>
      <c r="I315" s="115" t="n"/>
      <c r="L315" s="116" t="n"/>
      <c r="N315" s="117">
        <f>IF(AND(L315&lt;&gt;"",F315&gt;0),L315/F315,"")</f>
        <v/>
      </c>
      <c r="R315" s="121">
        <f>IF(D315&lt;&gt;"",IF(MONTH(D315)=MONTH(TODAY()),"🎂 Este mês!",""),"")</f>
        <v/>
      </c>
    </row>
    <row r="316">
      <c r="D316" s="115" t="n"/>
      <c r="H316" s="115" t="n"/>
      <c r="I316" s="115" t="n"/>
      <c r="L316" s="116" t="n"/>
      <c r="N316" s="117">
        <f>IF(AND(L316&lt;&gt;"",F316&gt;0),L316/F316,"")</f>
        <v/>
      </c>
      <c r="R316" s="121">
        <f>IF(D316&lt;&gt;"",IF(MONTH(D316)=MONTH(TODAY()),"🎂 Este mês!",""),"")</f>
        <v/>
      </c>
    </row>
    <row r="317">
      <c r="D317" s="115" t="n"/>
      <c r="H317" s="115" t="n"/>
      <c r="I317" s="115" t="n"/>
      <c r="L317" s="116" t="n"/>
      <c r="N317" s="117">
        <f>IF(AND(L317&lt;&gt;"",F317&gt;0),L317/F317,"")</f>
        <v/>
      </c>
      <c r="R317" s="121">
        <f>IF(D317&lt;&gt;"",IF(MONTH(D317)=MONTH(TODAY()),"🎂 Este mês!",""),"")</f>
        <v/>
      </c>
    </row>
    <row r="318">
      <c r="D318" s="115" t="n"/>
      <c r="H318" s="115" t="n"/>
      <c r="I318" s="115" t="n"/>
      <c r="L318" s="116" t="n"/>
      <c r="N318" s="117">
        <f>IF(AND(L318&lt;&gt;"",F318&gt;0),L318/F318,"")</f>
        <v/>
      </c>
      <c r="R318" s="121">
        <f>IF(D318&lt;&gt;"",IF(MONTH(D318)=MONTH(TODAY()),"🎂 Este mês!",""),"")</f>
        <v/>
      </c>
    </row>
    <row r="319">
      <c r="D319" s="115" t="n"/>
      <c r="H319" s="115" t="n"/>
      <c r="I319" s="115" t="n"/>
      <c r="L319" s="116" t="n"/>
      <c r="N319" s="117">
        <f>IF(AND(L319&lt;&gt;"",F319&gt;0),L319/F319,"")</f>
        <v/>
      </c>
      <c r="R319" s="121">
        <f>IF(D319&lt;&gt;"",IF(MONTH(D319)=MONTH(TODAY()),"🎂 Este mês!",""),"")</f>
        <v/>
      </c>
    </row>
    <row r="320">
      <c r="D320" s="115" t="n"/>
      <c r="H320" s="115" t="n"/>
      <c r="I320" s="115" t="n"/>
      <c r="L320" s="116" t="n"/>
      <c r="N320" s="117">
        <f>IF(AND(L320&lt;&gt;"",F320&gt;0),L320/F320,"")</f>
        <v/>
      </c>
      <c r="R320" s="121">
        <f>IF(D320&lt;&gt;"",IF(MONTH(D320)=MONTH(TODAY()),"🎂 Este mês!",""),"")</f>
        <v/>
      </c>
    </row>
    <row r="321">
      <c r="D321" s="115" t="n"/>
      <c r="H321" s="115" t="n"/>
      <c r="I321" s="115" t="n"/>
      <c r="L321" s="116" t="n"/>
      <c r="N321" s="117">
        <f>IF(AND(L321&lt;&gt;"",F321&gt;0),L321/F321,"")</f>
        <v/>
      </c>
      <c r="R321" s="121">
        <f>IF(D321&lt;&gt;"",IF(MONTH(D321)=MONTH(TODAY()),"🎂 Este mês!",""),"")</f>
        <v/>
      </c>
    </row>
    <row r="322">
      <c r="D322" s="115" t="n"/>
      <c r="H322" s="115" t="n"/>
      <c r="I322" s="115" t="n"/>
      <c r="L322" s="116" t="n"/>
      <c r="N322" s="117">
        <f>IF(AND(L322&lt;&gt;"",F322&gt;0),L322/F322,"")</f>
        <v/>
      </c>
      <c r="R322" s="121">
        <f>IF(D322&lt;&gt;"",IF(MONTH(D322)=MONTH(TODAY()),"🎂 Este mês!",""),"")</f>
        <v/>
      </c>
    </row>
    <row r="323">
      <c r="D323" s="115" t="n"/>
      <c r="H323" s="115" t="n"/>
      <c r="I323" s="115" t="n"/>
      <c r="L323" s="116" t="n"/>
      <c r="N323" s="117">
        <f>IF(AND(L323&lt;&gt;"",F323&gt;0),L323/F323,"")</f>
        <v/>
      </c>
      <c r="R323" s="121">
        <f>IF(D323&lt;&gt;"",IF(MONTH(D323)=MONTH(TODAY()),"🎂 Este mês!",""),"")</f>
        <v/>
      </c>
    </row>
    <row r="324">
      <c r="D324" s="115" t="n"/>
      <c r="H324" s="115" t="n"/>
      <c r="I324" s="115" t="n"/>
      <c r="L324" s="116" t="n"/>
      <c r="N324" s="117">
        <f>IF(AND(L324&lt;&gt;"",F324&gt;0),L324/F324,"")</f>
        <v/>
      </c>
      <c r="R324" s="121">
        <f>IF(D324&lt;&gt;"",IF(MONTH(D324)=MONTH(TODAY()),"🎂 Este mês!",""),"")</f>
        <v/>
      </c>
    </row>
    <row r="325">
      <c r="D325" s="115" t="n"/>
      <c r="H325" s="115" t="n"/>
      <c r="I325" s="115" t="n"/>
      <c r="L325" s="116" t="n"/>
      <c r="N325" s="117">
        <f>IF(AND(L325&lt;&gt;"",F325&gt;0),L325/F325,"")</f>
        <v/>
      </c>
      <c r="R325" s="121">
        <f>IF(D325&lt;&gt;"",IF(MONTH(D325)=MONTH(TODAY()),"🎂 Este mês!",""),"")</f>
        <v/>
      </c>
    </row>
    <row r="326">
      <c r="D326" s="115" t="n"/>
      <c r="H326" s="115" t="n"/>
      <c r="I326" s="115" t="n"/>
      <c r="L326" s="116" t="n"/>
      <c r="N326" s="117">
        <f>IF(AND(L326&lt;&gt;"",F326&gt;0),L326/F326,"")</f>
        <v/>
      </c>
      <c r="R326" s="121">
        <f>IF(D326&lt;&gt;"",IF(MONTH(D326)=MONTH(TODAY()),"🎂 Este mês!",""),"")</f>
        <v/>
      </c>
    </row>
    <row r="327">
      <c r="D327" s="115" t="n"/>
      <c r="H327" s="115" t="n"/>
      <c r="I327" s="115" t="n"/>
      <c r="L327" s="116" t="n"/>
      <c r="N327" s="117">
        <f>IF(AND(L327&lt;&gt;"",F327&gt;0),L327/F327,"")</f>
        <v/>
      </c>
      <c r="R327" s="121">
        <f>IF(D327&lt;&gt;"",IF(MONTH(D327)=MONTH(TODAY()),"🎂 Este mês!",""),"")</f>
        <v/>
      </c>
    </row>
    <row r="328">
      <c r="D328" s="115" t="n"/>
      <c r="H328" s="115" t="n"/>
      <c r="I328" s="115" t="n"/>
      <c r="L328" s="116" t="n"/>
      <c r="N328" s="117">
        <f>IF(AND(L328&lt;&gt;"",F328&gt;0),L328/F328,"")</f>
        <v/>
      </c>
      <c r="R328" s="121">
        <f>IF(D328&lt;&gt;"",IF(MONTH(D328)=MONTH(TODAY()),"🎂 Este mês!",""),"")</f>
        <v/>
      </c>
    </row>
    <row r="329">
      <c r="D329" s="115" t="n"/>
      <c r="H329" s="115" t="n"/>
      <c r="I329" s="115" t="n"/>
      <c r="L329" s="116" t="n"/>
      <c r="N329" s="117">
        <f>IF(AND(L329&lt;&gt;"",F329&gt;0),L329/F329,"")</f>
        <v/>
      </c>
      <c r="R329" s="121">
        <f>IF(D329&lt;&gt;"",IF(MONTH(D329)=MONTH(TODAY()),"🎂 Este mês!",""),"")</f>
        <v/>
      </c>
    </row>
    <row r="330">
      <c r="D330" s="115" t="n"/>
      <c r="H330" s="115" t="n"/>
      <c r="I330" s="115" t="n"/>
      <c r="L330" s="116" t="n"/>
      <c r="N330" s="117">
        <f>IF(AND(L330&lt;&gt;"",F330&gt;0),L330/F330,"")</f>
        <v/>
      </c>
      <c r="R330" s="121">
        <f>IF(D330&lt;&gt;"",IF(MONTH(D330)=MONTH(TODAY()),"🎂 Este mês!",""),"")</f>
        <v/>
      </c>
    </row>
    <row r="331">
      <c r="D331" s="115" t="n"/>
      <c r="H331" s="115" t="n"/>
      <c r="I331" s="115" t="n"/>
      <c r="L331" s="116" t="n"/>
      <c r="N331" s="117">
        <f>IF(AND(L331&lt;&gt;"",F331&gt;0),L331/F331,"")</f>
        <v/>
      </c>
      <c r="R331" s="121">
        <f>IF(D331&lt;&gt;"",IF(MONTH(D331)=MONTH(TODAY()),"🎂 Este mês!",""),"")</f>
        <v/>
      </c>
    </row>
    <row r="332">
      <c r="D332" s="115" t="n"/>
      <c r="H332" s="115" t="n"/>
      <c r="I332" s="115" t="n"/>
      <c r="L332" s="116" t="n"/>
      <c r="N332" s="117">
        <f>IF(AND(L332&lt;&gt;"",F332&gt;0),L332/F332,"")</f>
        <v/>
      </c>
      <c r="R332" s="121">
        <f>IF(D332&lt;&gt;"",IF(MONTH(D332)=MONTH(TODAY()),"🎂 Este mês!",""),"")</f>
        <v/>
      </c>
    </row>
    <row r="333">
      <c r="D333" s="115" t="n"/>
      <c r="H333" s="115" t="n"/>
      <c r="I333" s="115" t="n"/>
      <c r="L333" s="116" t="n"/>
      <c r="N333" s="117">
        <f>IF(AND(L333&lt;&gt;"",F333&gt;0),L333/F333,"")</f>
        <v/>
      </c>
      <c r="R333" s="121">
        <f>IF(D333&lt;&gt;"",IF(MONTH(D333)=MONTH(TODAY()),"🎂 Este mês!",""),"")</f>
        <v/>
      </c>
    </row>
    <row r="334">
      <c r="D334" s="115" t="n"/>
      <c r="H334" s="115" t="n"/>
      <c r="I334" s="115" t="n"/>
      <c r="L334" s="116" t="n"/>
      <c r="N334" s="117">
        <f>IF(AND(L334&lt;&gt;"",F334&gt;0),L334/F334,"")</f>
        <v/>
      </c>
      <c r="R334" s="121">
        <f>IF(D334&lt;&gt;"",IF(MONTH(D334)=MONTH(TODAY()),"🎂 Este mês!",""),"")</f>
        <v/>
      </c>
    </row>
    <row r="335">
      <c r="D335" s="115" t="n"/>
      <c r="H335" s="115" t="n"/>
      <c r="I335" s="115" t="n"/>
      <c r="L335" s="116" t="n"/>
      <c r="N335" s="117">
        <f>IF(AND(L335&lt;&gt;"",F335&gt;0),L335/F335,"")</f>
        <v/>
      </c>
      <c r="R335" s="121">
        <f>IF(D335&lt;&gt;"",IF(MONTH(D335)=MONTH(TODAY()),"🎂 Este mês!",""),"")</f>
        <v/>
      </c>
    </row>
    <row r="336">
      <c r="D336" s="115" t="n"/>
      <c r="H336" s="115" t="n"/>
      <c r="I336" s="115" t="n"/>
      <c r="L336" s="116" t="n"/>
      <c r="N336" s="117">
        <f>IF(AND(L336&lt;&gt;"",F336&gt;0),L336/F336,"")</f>
        <v/>
      </c>
      <c r="R336" s="121">
        <f>IF(D336&lt;&gt;"",IF(MONTH(D336)=MONTH(TODAY()),"🎂 Este mês!",""),"")</f>
        <v/>
      </c>
    </row>
    <row r="337">
      <c r="D337" s="115" t="n"/>
      <c r="H337" s="115" t="n"/>
      <c r="I337" s="115" t="n"/>
      <c r="L337" s="116" t="n"/>
      <c r="N337" s="117">
        <f>IF(AND(L337&lt;&gt;"",F337&gt;0),L337/F337,"")</f>
        <v/>
      </c>
      <c r="R337" s="121">
        <f>IF(D337&lt;&gt;"",IF(MONTH(D337)=MONTH(TODAY()),"🎂 Este mês!",""),"")</f>
        <v/>
      </c>
    </row>
    <row r="338">
      <c r="D338" s="115" t="n"/>
      <c r="H338" s="115" t="n"/>
      <c r="I338" s="115" t="n"/>
      <c r="L338" s="116" t="n"/>
      <c r="N338" s="117">
        <f>IF(AND(L338&lt;&gt;"",F338&gt;0),L338/F338,"")</f>
        <v/>
      </c>
      <c r="R338" s="121">
        <f>IF(D338&lt;&gt;"",IF(MONTH(D338)=MONTH(TODAY()),"🎂 Este mês!",""),"")</f>
        <v/>
      </c>
    </row>
    <row r="339">
      <c r="D339" s="115" t="n"/>
      <c r="H339" s="115" t="n"/>
      <c r="I339" s="115" t="n"/>
      <c r="L339" s="116" t="n"/>
      <c r="N339" s="117">
        <f>IF(AND(L339&lt;&gt;"",F339&gt;0),L339/F339,"")</f>
        <v/>
      </c>
      <c r="R339" s="121">
        <f>IF(D339&lt;&gt;"",IF(MONTH(D339)=MONTH(TODAY()),"🎂 Este mês!",""),"")</f>
        <v/>
      </c>
    </row>
    <row r="340">
      <c r="D340" s="115" t="n"/>
      <c r="H340" s="115" t="n"/>
      <c r="I340" s="115" t="n"/>
      <c r="L340" s="116" t="n"/>
      <c r="N340" s="117">
        <f>IF(AND(L340&lt;&gt;"",F340&gt;0),L340/F340,"")</f>
        <v/>
      </c>
      <c r="R340" s="121">
        <f>IF(D340&lt;&gt;"",IF(MONTH(D340)=MONTH(TODAY()),"🎂 Este mês!",""),"")</f>
        <v/>
      </c>
    </row>
    <row r="341">
      <c r="D341" s="115" t="n"/>
      <c r="H341" s="115" t="n"/>
      <c r="I341" s="115" t="n"/>
      <c r="L341" s="116" t="n"/>
      <c r="N341" s="117">
        <f>IF(AND(L341&lt;&gt;"",F341&gt;0),L341/F341,"")</f>
        <v/>
      </c>
      <c r="R341" s="121">
        <f>IF(D341&lt;&gt;"",IF(MONTH(D341)=MONTH(TODAY()),"🎂 Este mês!",""),"")</f>
        <v/>
      </c>
    </row>
    <row r="342">
      <c r="D342" s="115" t="n"/>
      <c r="H342" s="115" t="n"/>
      <c r="I342" s="115" t="n"/>
      <c r="L342" s="116" t="n"/>
      <c r="N342" s="117">
        <f>IF(AND(L342&lt;&gt;"",F342&gt;0),L342/F342,"")</f>
        <v/>
      </c>
      <c r="R342" s="121">
        <f>IF(D342&lt;&gt;"",IF(MONTH(D342)=MONTH(TODAY()),"🎂 Este mês!",""),"")</f>
        <v/>
      </c>
    </row>
    <row r="343">
      <c r="D343" s="115" t="n"/>
      <c r="H343" s="115" t="n"/>
      <c r="I343" s="115" t="n"/>
      <c r="L343" s="116" t="n"/>
      <c r="N343" s="117">
        <f>IF(AND(L343&lt;&gt;"",F343&gt;0),L343/F343,"")</f>
        <v/>
      </c>
      <c r="R343" s="121">
        <f>IF(D343&lt;&gt;"",IF(MONTH(D343)=MONTH(TODAY()),"🎂 Este mês!",""),"")</f>
        <v/>
      </c>
    </row>
    <row r="344">
      <c r="D344" s="115" t="n"/>
      <c r="H344" s="115" t="n"/>
      <c r="I344" s="115" t="n"/>
      <c r="L344" s="116" t="n"/>
      <c r="N344" s="117">
        <f>IF(AND(L344&lt;&gt;"",F344&gt;0),L344/F344,"")</f>
        <v/>
      </c>
      <c r="R344" s="121">
        <f>IF(D344&lt;&gt;"",IF(MONTH(D344)=MONTH(TODAY()),"🎂 Este mês!",""),"")</f>
        <v/>
      </c>
    </row>
    <row r="345">
      <c r="D345" s="115" t="n"/>
      <c r="H345" s="115" t="n"/>
      <c r="I345" s="115" t="n"/>
      <c r="L345" s="116" t="n"/>
      <c r="N345" s="117">
        <f>IF(AND(L345&lt;&gt;"",F345&gt;0),L345/F345,"")</f>
        <v/>
      </c>
      <c r="R345" s="121">
        <f>IF(D345&lt;&gt;"",IF(MONTH(D345)=MONTH(TODAY()),"🎂 Este mês!",""),"")</f>
        <v/>
      </c>
    </row>
    <row r="346">
      <c r="D346" s="115" t="n"/>
      <c r="H346" s="115" t="n"/>
      <c r="I346" s="115" t="n"/>
      <c r="L346" s="116" t="n"/>
      <c r="N346" s="117">
        <f>IF(AND(L346&lt;&gt;"",F346&gt;0),L346/F346,"")</f>
        <v/>
      </c>
      <c r="R346" s="121">
        <f>IF(D346&lt;&gt;"",IF(MONTH(D346)=MONTH(TODAY()),"🎂 Este mês!",""),"")</f>
        <v/>
      </c>
    </row>
    <row r="347">
      <c r="D347" s="115" t="n"/>
      <c r="H347" s="115" t="n"/>
      <c r="I347" s="115" t="n"/>
      <c r="L347" s="116" t="n"/>
      <c r="N347" s="117">
        <f>IF(AND(L347&lt;&gt;"",F347&gt;0),L347/F347,"")</f>
        <v/>
      </c>
      <c r="R347" s="121">
        <f>IF(D347&lt;&gt;"",IF(MONTH(D347)=MONTH(TODAY()),"🎂 Este mês!",""),"")</f>
        <v/>
      </c>
    </row>
    <row r="348">
      <c r="D348" s="115" t="n"/>
      <c r="H348" s="115" t="n"/>
      <c r="I348" s="115" t="n"/>
      <c r="L348" s="116" t="n"/>
      <c r="N348" s="117">
        <f>IF(AND(L348&lt;&gt;"",F348&gt;0),L348/F348,"")</f>
        <v/>
      </c>
      <c r="R348" s="121">
        <f>IF(D348&lt;&gt;"",IF(MONTH(D348)=MONTH(TODAY()),"🎂 Este mês!",""),"")</f>
        <v/>
      </c>
    </row>
    <row r="349">
      <c r="D349" s="115" t="n"/>
      <c r="H349" s="115" t="n"/>
      <c r="I349" s="115" t="n"/>
      <c r="L349" s="116" t="n"/>
      <c r="N349" s="117">
        <f>IF(AND(L349&lt;&gt;"",F349&gt;0),L349/F349,"")</f>
        <v/>
      </c>
      <c r="R349" s="121">
        <f>IF(D349&lt;&gt;"",IF(MONTH(D349)=MONTH(TODAY()),"🎂 Este mês!",""),"")</f>
        <v/>
      </c>
    </row>
    <row r="350">
      <c r="D350" s="115" t="n"/>
      <c r="H350" s="115" t="n"/>
      <c r="I350" s="115" t="n"/>
      <c r="L350" s="116" t="n"/>
      <c r="N350" s="117">
        <f>IF(AND(L350&lt;&gt;"",F350&gt;0),L350/F350,"")</f>
        <v/>
      </c>
      <c r="R350" s="121">
        <f>IF(D350&lt;&gt;"",IF(MONTH(D350)=MONTH(TODAY()),"🎂 Este mês!",""),"")</f>
        <v/>
      </c>
    </row>
    <row r="351">
      <c r="D351" s="115" t="n"/>
      <c r="H351" s="115" t="n"/>
      <c r="I351" s="115" t="n"/>
      <c r="L351" s="116" t="n"/>
      <c r="N351" s="117">
        <f>IF(AND(L351&lt;&gt;"",F351&gt;0),L351/F351,"")</f>
        <v/>
      </c>
      <c r="R351" s="121">
        <f>IF(D351&lt;&gt;"",IF(MONTH(D351)=MONTH(TODAY()),"🎂 Este mês!",""),"")</f>
        <v/>
      </c>
    </row>
    <row r="352">
      <c r="D352" s="115" t="n"/>
      <c r="H352" s="115" t="n"/>
      <c r="I352" s="115" t="n"/>
      <c r="L352" s="116" t="n"/>
      <c r="N352" s="117">
        <f>IF(AND(L352&lt;&gt;"",F352&gt;0),L352/F352,"")</f>
        <v/>
      </c>
      <c r="R352" s="121">
        <f>IF(D352&lt;&gt;"",IF(MONTH(D352)=MONTH(TODAY()),"🎂 Este mês!",""),"")</f>
        <v/>
      </c>
    </row>
    <row r="353">
      <c r="D353" s="115" t="n"/>
      <c r="H353" s="115" t="n"/>
      <c r="I353" s="115" t="n"/>
      <c r="L353" s="116" t="n"/>
      <c r="N353" s="117">
        <f>IF(AND(L353&lt;&gt;"",F353&gt;0),L353/F353,"")</f>
        <v/>
      </c>
      <c r="R353" s="121">
        <f>IF(D353&lt;&gt;"",IF(MONTH(D353)=MONTH(TODAY()),"🎂 Este mês!",""),"")</f>
        <v/>
      </c>
    </row>
    <row r="354">
      <c r="D354" s="115" t="n"/>
      <c r="H354" s="115" t="n"/>
      <c r="I354" s="115" t="n"/>
      <c r="L354" s="116" t="n"/>
      <c r="N354" s="117">
        <f>IF(AND(L354&lt;&gt;"",F354&gt;0),L354/F354,"")</f>
        <v/>
      </c>
      <c r="R354" s="121">
        <f>IF(D354&lt;&gt;"",IF(MONTH(D354)=MONTH(TODAY()),"🎂 Este mês!",""),"")</f>
        <v/>
      </c>
    </row>
    <row r="355">
      <c r="D355" s="115" t="n"/>
      <c r="H355" s="115" t="n"/>
      <c r="I355" s="115" t="n"/>
      <c r="L355" s="116" t="n"/>
      <c r="N355" s="117">
        <f>IF(AND(L355&lt;&gt;"",F355&gt;0),L355/F355,"")</f>
        <v/>
      </c>
      <c r="R355" s="121">
        <f>IF(D355&lt;&gt;"",IF(MONTH(D355)=MONTH(TODAY()),"🎂 Este mês!",""),"")</f>
        <v/>
      </c>
    </row>
    <row r="356">
      <c r="D356" s="115" t="n"/>
      <c r="H356" s="115" t="n"/>
      <c r="I356" s="115" t="n"/>
      <c r="L356" s="116" t="n"/>
      <c r="N356" s="117">
        <f>IF(AND(L356&lt;&gt;"",F356&gt;0),L356/F356,"")</f>
        <v/>
      </c>
      <c r="R356" s="121">
        <f>IF(D356&lt;&gt;"",IF(MONTH(D356)=MONTH(TODAY()),"🎂 Este mês!",""),"")</f>
        <v/>
      </c>
    </row>
    <row r="357">
      <c r="D357" s="115" t="n"/>
      <c r="H357" s="115" t="n"/>
      <c r="I357" s="115" t="n"/>
      <c r="L357" s="116" t="n"/>
      <c r="N357" s="117">
        <f>IF(AND(L357&lt;&gt;"",F357&gt;0),L357/F357,"")</f>
        <v/>
      </c>
      <c r="R357" s="121">
        <f>IF(D357&lt;&gt;"",IF(MONTH(D357)=MONTH(TODAY()),"🎂 Este mês!",""),"")</f>
        <v/>
      </c>
    </row>
    <row r="358">
      <c r="D358" s="115" t="n"/>
      <c r="H358" s="115" t="n"/>
      <c r="I358" s="115" t="n"/>
      <c r="L358" s="116" t="n"/>
      <c r="N358" s="117">
        <f>IF(AND(L358&lt;&gt;"",F358&gt;0),L358/F358,"")</f>
        <v/>
      </c>
      <c r="R358" s="121">
        <f>IF(D358&lt;&gt;"",IF(MONTH(D358)=MONTH(TODAY()),"🎂 Este mês!",""),"")</f>
        <v/>
      </c>
    </row>
    <row r="359">
      <c r="D359" s="115" t="n"/>
      <c r="H359" s="115" t="n"/>
      <c r="I359" s="115" t="n"/>
      <c r="L359" s="116" t="n"/>
      <c r="N359" s="117">
        <f>IF(AND(L359&lt;&gt;"",F359&gt;0),L359/F359,"")</f>
        <v/>
      </c>
      <c r="R359" s="121">
        <f>IF(D359&lt;&gt;"",IF(MONTH(D359)=MONTH(TODAY()),"🎂 Este mês!",""),"")</f>
        <v/>
      </c>
    </row>
    <row r="360">
      <c r="D360" s="115" t="n"/>
      <c r="H360" s="115" t="n"/>
      <c r="I360" s="115" t="n"/>
      <c r="L360" s="116" t="n"/>
      <c r="N360" s="117">
        <f>IF(AND(L360&lt;&gt;"",F360&gt;0),L360/F360,"")</f>
        <v/>
      </c>
      <c r="R360" s="121">
        <f>IF(D360&lt;&gt;"",IF(MONTH(D360)=MONTH(TODAY()),"🎂 Este mês!",""),"")</f>
        <v/>
      </c>
    </row>
    <row r="361">
      <c r="D361" s="115" t="n"/>
      <c r="H361" s="115" t="n"/>
      <c r="I361" s="115" t="n"/>
      <c r="L361" s="116" t="n"/>
      <c r="N361" s="117">
        <f>IF(AND(L361&lt;&gt;"",F361&gt;0),L361/F361,"")</f>
        <v/>
      </c>
      <c r="R361" s="121">
        <f>IF(D361&lt;&gt;"",IF(MONTH(D361)=MONTH(TODAY()),"🎂 Este mês!",""),"")</f>
        <v/>
      </c>
    </row>
    <row r="362">
      <c r="D362" s="115" t="n"/>
      <c r="H362" s="115" t="n"/>
      <c r="I362" s="115" t="n"/>
      <c r="L362" s="116" t="n"/>
      <c r="N362" s="117">
        <f>IF(AND(L362&lt;&gt;"",F362&gt;0),L362/F362,"")</f>
        <v/>
      </c>
      <c r="R362" s="121">
        <f>IF(D362&lt;&gt;"",IF(MONTH(D362)=MONTH(TODAY()),"🎂 Este mês!",""),"")</f>
        <v/>
      </c>
    </row>
    <row r="363">
      <c r="D363" s="115" t="n"/>
      <c r="H363" s="115" t="n"/>
      <c r="I363" s="115" t="n"/>
      <c r="L363" s="116" t="n"/>
      <c r="N363" s="117">
        <f>IF(AND(L363&lt;&gt;"",F363&gt;0),L363/F363,"")</f>
        <v/>
      </c>
      <c r="R363" s="121">
        <f>IF(D363&lt;&gt;"",IF(MONTH(D363)=MONTH(TODAY()),"🎂 Este mês!",""),"")</f>
        <v/>
      </c>
    </row>
    <row r="364">
      <c r="D364" s="115" t="n"/>
      <c r="H364" s="115" t="n"/>
      <c r="I364" s="115" t="n"/>
      <c r="L364" s="116" t="n"/>
      <c r="N364" s="117">
        <f>IF(AND(L364&lt;&gt;"",F364&gt;0),L364/F364,"")</f>
        <v/>
      </c>
      <c r="R364" s="121">
        <f>IF(D364&lt;&gt;"",IF(MONTH(D364)=MONTH(TODAY()),"🎂 Este mês!",""),"")</f>
        <v/>
      </c>
    </row>
    <row r="365">
      <c r="D365" s="115" t="n"/>
      <c r="H365" s="115" t="n"/>
      <c r="I365" s="115" t="n"/>
      <c r="L365" s="116" t="n"/>
      <c r="N365" s="117">
        <f>IF(AND(L365&lt;&gt;"",F365&gt;0),L365/F365,"")</f>
        <v/>
      </c>
      <c r="R365" s="121">
        <f>IF(D365&lt;&gt;"",IF(MONTH(D365)=MONTH(TODAY()),"🎂 Este mês!",""),"")</f>
        <v/>
      </c>
    </row>
    <row r="366">
      <c r="D366" s="115" t="n"/>
      <c r="H366" s="115" t="n"/>
      <c r="I366" s="115" t="n"/>
      <c r="L366" s="116" t="n"/>
      <c r="N366" s="117">
        <f>IF(AND(L366&lt;&gt;"",F366&gt;0),L366/F366,"")</f>
        <v/>
      </c>
      <c r="R366" s="121">
        <f>IF(D366&lt;&gt;"",IF(MONTH(D366)=MONTH(TODAY()),"🎂 Este mês!",""),"")</f>
        <v/>
      </c>
    </row>
    <row r="367">
      <c r="D367" s="115" t="n"/>
      <c r="H367" s="115" t="n"/>
      <c r="I367" s="115" t="n"/>
      <c r="L367" s="116" t="n"/>
      <c r="N367" s="117">
        <f>IF(AND(L367&lt;&gt;"",F367&gt;0),L367/F367,"")</f>
        <v/>
      </c>
      <c r="R367" s="121">
        <f>IF(D367&lt;&gt;"",IF(MONTH(D367)=MONTH(TODAY()),"🎂 Este mês!",""),"")</f>
        <v/>
      </c>
    </row>
    <row r="368">
      <c r="D368" s="115" t="n"/>
      <c r="H368" s="115" t="n"/>
      <c r="I368" s="115" t="n"/>
      <c r="L368" s="116" t="n"/>
      <c r="N368" s="117">
        <f>IF(AND(L368&lt;&gt;"",F368&gt;0),L368/F368,"")</f>
        <v/>
      </c>
      <c r="R368" s="121">
        <f>IF(D368&lt;&gt;"",IF(MONTH(D368)=MONTH(TODAY()),"🎂 Este mês!",""),"")</f>
        <v/>
      </c>
    </row>
    <row r="369">
      <c r="D369" s="115" t="n"/>
      <c r="H369" s="115" t="n"/>
      <c r="I369" s="115" t="n"/>
      <c r="L369" s="116" t="n"/>
      <c r="N369" s="117">
        <f>IF(AND(L369&lt;&gt;"",F369&gt;0),L369/F369,"")</f>
        <v/>
      </c>
      <c r="R369" s="121">
        <f>IF(D369&lt;&gt;"",IF(MONTH(D369)=MONTH(TODAY()),"🎂 Este mês!",""),"")</f>
        <v/>
      </c>
    </row>
    <row r="370">
      <c r="D370" s="115" t="n"/>
      <c r="H370" s="115" t="n"/>
      <c r="I370" s="115" t="n"/>
      <c r="L370" s="116" t="n"/>
      <c r="N370" s="117">
        <f>IF(AND(L370&lt;&gt;"",F370&gt;0),L370/F370,"")</f>
        <v/>
      </c>
      <c r="R370" s="121">
        <f>IF(D370&lt;&gt;"",IF(MONTH(D370)=MONTH(TODAY()),"🎂 Este mês!",""),"")</f>
        <v/>
      </c>
    </row>
    <row r="371">
      <c r="D371" s="115" t="n"/>
      <c r="H371" s="115" t="n"/>
      <c r="I371" s="115" t="n"/>
      <c r="L371" s="116" t="n"/>
      <c r="N371" s="117">
        <f>IF(AND(L371&lt;&gt;"",F371&gt;0),L371/F371,"")</f>
        <v/>
      </c>
      <c r="R371" s="121">
        <f>IF(D371&lt;&gt;"",IF(MONTH(D371)=MONTH(TODAY()),"🎂 Este mês!",""),"")</f>
        <v/>
      </c>
    </row>
    <row r="372">
      <c r="D372" s="115" t="n"/>
      <c r="H372" s="115" t="n"/>
      <c r="I372" s="115" t="n"/>
      <c r="L372" s="116" t="n"/>
      <c r="N372" s="117">
        <f>IF(AND(L372&lt;&gt;"",F372&gt;0),L372/F372,"")</f>
        <v/>
      </c>
      <c r="R372" s="121">
        <f>IF(D372&lt;&gt;"",IF(MONTH(D372)=MONTH(TODAY()),"🎂 Este mês!",""),"")</f>
        <v/>
      </c>
    </row>
    <row r="373">
      <c r="D373" s="115" t="n"/>
      <c r="H373" s="115" t="n"/>
      <c r="I373" s="115" t="n"/>
      <c r="L373" s="116" t="n"/>
      <c r="N373" s="117">
        <f>IF(AND(L373&lt;&gt;"",F373&gt;0),L373/F373,"")</f>
        <v/>
      </c>
      <c r="R373" s="121">
        <f>IF(D373&lt;&gt;"",IF(MONTH(D373)=MONTH(TODAY()),"🎂 Este mês!",""),"")</f>
        <v/>
      </c>
    </row>
    <row r="374">
      <c r="D374" s="115" t="n"/>
      <c r="H374" s="115" t="n"/>
      <c r="I374" s="115" t="n"/>
      <c r="L374" s="116" t="n"/>
      <c r="N374" s="117">
        <f>IF(AND(L374&lt;&gt;"",F374&gt;0),L374/F374,"")</f>
        <v/>
      </c>
      <c r="R374" s="121">
        <f>IF(D374&lt;&gt;"",IF(MONTH(D374)=MONTH(TODAY()),"🎂 Este mês!",""),"")</f>
        <v/>
      </c>
    </row>
    <row r="375">
      <c r="D375" s="115" t="n"/>
      <c r="H375" s="115" t="n"/>
      <c r="I375" s="115" t="n"/>
      <c r="L375" s="116" t="n"/>
      <c r="N375" s="117">
        <f>IF(AND(L375&lt;&gt;"",F375&gt;0),L375/F375,"")</f>
        <v/>
      </c>
      <c r="R375" s="121">
        <f>IF(D375&lt;&gt;"",IF(MONTH(D375)=MONTH(TODAY()),"🎂 Este mês!",""),"")</f>
        <v/>
      </c>
    </row>
    <row r="376">
      <c r="D376" s="115" t="n"/>
      <c r="H376" s="115" t="n"/>
      <c r="I376" s="115" t="n"/>
      <c r="L376" s="116" t="n"/>
      <c r="N376" s="117">
        <f>IF(AND(L376&lt;&gt;"",F376&gt;0),L376/F376,"")</f>
        <v/>
      </c>
      <c r="R376" s="121">
        <f>IF(D376&lt;&gt;"",IF(MONTH(D376)=MONTH(TODAY()),"🎂 Este mês!",""),"")</f>
        <v/>
      </c>
    </row>
    <row r="377">
      <c r="D377" s="115" t="n"/>
      <c r="H377" s="115" t="n"/>
      <c r="I377" s="115" t="n"/>
      <c r="L377" s="116" t="n"/>
      <c r="N377" s="117">
        <f>IF(AND(L377&lt;&gt;"",F377&gt;0),L377/F377,"")</f>
        <v/>
      </c>
      <c r="R377" s="121">
        <f>IF(D377&lt;&gt;"",IF(MONTH(D377)=MONTH(TODAY()),"🎂 Este mês!",""),"")</f>
        <v/>
      </c>
    </row>
    <row r="378">
      <c r="D378" s="115" t="n"/>
      <c r="H378" s="115" t="n"/>
      <c r="I378" s="115" t="n"/>
      <c r="L378" s="116" t="n"/>
      <c r="N378" s="117">
        <f>IF(AND(L378&lt;&gt;"",F378&gt;0),L378/F378,"")</f>
        <v/>
      </c>
      <c r="R378" s="121">
        <f>IF(D378&lt;&gt;"",IF(MONTH(D378)=MONTH(TODAY()),"🎂 Este mês!",""),"")</f>
        <v/>
      </c>
    </row>
    <row r="379">
      <c r="D379" s="115" t="n"/>
      <c r="H379" s="115" t="n"/>
      <c r="I379" s="115" t="n"/>
      <c r="L379" s="116" t="n"/>
      <c r="N379" s="117">
        <f>IF(AND(L379&lt;&gt;"",F379&gt;0),L379/F379,"")</f>
        <v/>
      </c>
      <c r="R379" s="121">
        <f>IF(D379&lt;&gt;"",IF(MONTH(D379)=MONTH(TODAY()),"🎂 Este mês!",""),"")</f>
        <v/>
      </c>
    </row>
    <row r="380">
      <c r="D380" s="115" t="n"/>
      <c r="H380" s="115" t="n"/>
      <c r="I380" s="115" t="n"/>
      <c r="L380" s="116" t="n"/>
      <c r="N380" s="117">
        <f>IF(AND(L380&lt;&gt;"",F380&gt;0),L380/F380,"")</f>
        <v/>
      </c>
      <c r="R380" s="121">
        <f>IF(D380&lt;&gt;"",IF(MONTH(D380)=MONTH(TODAY()),"🎂 Este mês!",""),"")</f>
        <v/>
      </c>
    </row>
    <row r="381">
      <c r="D381" s="115" t="n"/>
      <c r="H381" s="115" t="n"/>
      <c r="I381" s="115" t="n"/>
      <c r="L381" s="116" t="n"/>
      <c r="N381" s="117">
        <f>IF(AND(L381&lt;&gt;"",F381&gt;0),L381/F381,"")</f>
        <v/>
      </c>
      <c r="R381" s="121">
        <f>IF(D381&lt;&gt;"",IF(MONTH(D381)=MONTH(TODAY()),"🎂 Este mês!",""),"")</f>
        <v/>
      </c>
    </row>
    <row r="382">
      <c r="D382" s="115" t="n"/>
      <c r="H382" s="115" t="n"/>
      <c r="I382" s="115" t="n"/>
      <c r="L382" s="116" t="n"/>
      <c r="N382" s="117">
        <f>IF(AND(L382&lt;&gt;"",F382&gt;0),L382/F382,"")</f>
        <v/>
      </c>
      <c r="R382" s="121">
        <f>IF(D382&lt;&gt;"",IF(MONTH(D382)=MONTH(TODAY()),"🎂 Este mês!",""),"")</f>
        <v/>
      </c>
    </row>
    <row r="383">
      <c r="D383" s="115" t="n"/>
      <c r="H383" s="115" t="n"/>
      <c r="I383" s="115" t="n"/>
      <c r="L383" s="116" t="n"/>
      <c r="N383" s="117">
        <f>IF(AND(L383&lt;&gt;"",F383&gt;0),L383/F383,"")</f>
        <v/>
      </c>
      <c r="R383" s="121">
        <f>IF(D383&lt;&gt;"",IF(MONTH(D383)=MONTH(TODAY()),"🎂 Este mês!",""),"")</f>
        <v/>
      </c>
    </row>
    <row r="384">
      <c r="D384" s="115" t="n"/>
      <c r="H384" s="115" t="n"/>
      <c r="I384" s="115" t="n"/>
      <c r="L384" s="116" t="n"/>
      <c r="N384" s="117">
        <f>IF(AND(L384&lt;&gt;"",F384&gt;0),L384/F384,"")</f>
        <v/>
      </c>
      <c r="R384" s="121">
        <f>IF(D384&lt;&gt;"",IF(MONTH(D384)=MONTH(TODAY()),"🎂 Este mês!",""),"")</f>
        <v/>
      </c>
    </row>
    <row r="385">
      <c r="D385" s="115" t="n"/>
      <c r="H385" s="115" t="n"/>
      <c r="I385" s="115" t="n"/>
      <c r="L385" s="116" t="n"/>
      <c r="N385" s="117">
        <f>IF(AND(L385&lt;&gt;"",F385&gt;0),L385/F385,"")</f>
        <v/>
      </c>
      <c r="R385" s="121">
        <f>IF(D385&lt;&gt;"",IF(MONTH(D385)=MONTH(TODAY()),"🎂 Este mês!",""),"")</f>
        <v/>
      </c>
    </row>
    <row r="386">
      <c r="D386" s="115" t="n"/>
      <c r="H386" s="115" t="n"/>
      <c r="I386" s="115" t="n"/>
      <c r="L386" s="116" t="n"/>
      <c r="N386" s="117">
        <f>IF(AND(L386&lt;&gt;"",F386&gt;0),L386/F386,"")</f>
        <v/>
      </c>
      <c r="R386" s="121">
        <f>IF(D386&lt;&gt;"",IF(MONTH(D386)=MONTH(TODAY()),"🎂 Este mês!",""),"")</f>
        <v/>
      </c>
    </row>
    <row r="387">
      <c r="D387" s="115" t="n"/>
      <c r="H387" s="115" t="n"/>
      <c r="I387" s="115" t="n"/>
      <c r="L387" s="116" t="n"/>
      <c r="N387" s="117">
        <f>IF(AND(L387&lt;&gt;"",F387&gt;0),L387/F387,"")</f>
        <v/>
      </c>
      <c r="R387" s="121">
        <f>IF(D387&lt;&gt;"",IF(MONTH(D387)=MONTH(TODAY()),"🎂 Este mês!",""),"")</f>
        <v/>
      </c>
    </row>
    <row r="388">
      <c r="D388" s="115" t="n"/>
      <c r="H388" s="115" t="n"/>
      <c r="I388" s="115" t="n"/>
      <c r="L388" s="116" t="n"/>
      <c r="N388" s="117">
        <f>IF(AND(L388&lt;&gt;"",F388&gt;0),L388/F388,"")</f>
        <v/>
      </c>
      <c r="R388" s="121">
        <f>IF(D388&lt;&gt;"",IF(MONTH(D388)=MONTH(TODAY()),"🎂 Este mês!",""),"")</f>
        <v/>
      </c>
    </row>
    <row r="389">
      <c r="D389" s="115" t="n"/>
      <c r="H389" s="115" t="n"/>
      <c r="I389" s="115" t="n"/>
      <c r="L389" s="116" t="n"/>
      <c r="N389" s="117">
        <f>IF(AND(L389&lt;&gt;"",F389&gt;0),L389/F389,"")</f>
        <v/>
      </c>
      <c r="R389" s="121">
        <f>IF(D389&lt;&gt;"",IF(MONTH(D389)=MONTH(TODAY()),"🎂 Este mês!",""),"")</f>
        <v/>
      </c>
    </row>
    <row r="390">
      <c r="D390" s="115" t="n"/>
      <c r="H390" s="115" t="n"/>
      <c r="I390" s="115" t="n"/>
      <c r="L390" s="116" t="n"/>
      <c r="N390" s="117">
        <f>IF(AND(L390&lt;&gt;"",F390&gt;0),L390/F390,"")</f>
        <v/>
      </c>
      <c r="R390" s="121">
        <f>IF(D390&lt;&gt;"",IF(MONTH(D390)=MONTH(TODAY()),"🎂 Este mês!",""),"")</f>
        <v/>
      </c>
    </row>
    <row r="391">
      <c r="D391" s="115" t="n"/>
      <c r="H391" s="115" t="n"/>
      <c r="I391" s="115" t="n"/>
      <c r="L391" s="116" t="n"/>
      <c r="N391" s="117">
        <f>IF(AND(L391&lt;&gt;"",F391&gt;0),L391/F391,"")</f>
        <v/>
      </c>
      <c r="R391" s="121">
        <f>IF(D391&lt;&gt;"",IF(MONTH(D391)=MONTH(TODAY()),"🎂 Este mês!",""),"")</f>
        <v/>
      </c>
    </row>
    <row r="392">
      <c r="D392" s="115" t="n"/>
      <c r="H392" s="115" t="n"/>
      <c r="I392" s="115" t="n"/>
      <c r="L392" s="116" t="n"/>
      <c r="N392" s="117">
        <f>IF(AND(L392&lt;&gt;"",F392&gt;0),L392/F392,"")</f>
        <v/>
      </c>
      <c r="R392" s="121">
        <f>IF(D392&lt;&gt;"",IF(MONTH(D392)=MONTH(TODAY()),"🎂 Este mês!",""),"")</f>
        <v/>
      </c>
    </row>
    <row r="393">
      <c r="D393" s="115" t="n"/>
      <c r="H393" s="115" t="n"/>
      <c r="I393" s="115" t="n"/>
      <c r="L393" s="116" t="n"/>
      <c r="N393" s="117">
        <f>IF(AND(L393&lt;&gt;"",F393&gt;0),L393/F393,"")</f>
        <v/>
      </c>
      <c r="R393" s="121">
        <f>IF(D393&lt;&gt;"",IF(MONTH(D393)=MONTH(TODAY()),"🎂 Este mês!",""),"")</f>
        <v/>
      </c>
    </row>
    <row r="394">
      <c r="D394" s="115" t="n"/>
      <c r="H394" s="115" t="n"/>
      <c r="I394" s="115" t="n"/>
      <c r="L394" s="116" t="n"/>
      <c r="N394" s="117">
        <f>IF(AND(L394&lt;&gt;"",F394&gt;0),L394/F394,"")</f>
        <v/>
      </c>
      <c r="R394" s="121">
        <f>IF(D394&lt;&gt;"",IF(MONTH(D394)=MONTH(TODAY()),"🎂 Este mês!",""),"")</f>
        <v/>
      </c>
    </row>
    <row r="395">
      <c r="D395" s="115" t="n"/>
      <c r="H395" s="115" t="n"/>
      <c r="I395" s="115" t="n"/>
      <c r="L395" s="116" t="n"/>
      <c r="N395" s="117">
        <f>IF(AND(L395&lt;&gt;"",F395&gt;0),L395/F395,"")</f>
        <v/>
      </c>
      <c r="R395" s="121">
        <f>IF(D395&lt;&gt;"",IF(MONTH(D395)=MONTH(TODAY()),"🎂 Este mês!",""),"")</f>
        <v/>
      </c>
    </row>
    <row r="396">
      <c r="D396" s="115" t="n"/>
      <c r="H396" s="115" t="n"/>
      <c r="I396" s="115" t="n"/>
      <c r="L396" s="116" t="n"/>
      <c r="N396" s="117">
        <f>IF(AND(L396&lt;&gt;"",F396&gt;0),L396/F396,"")</f>
        <v/>
      </c>
      <c r="R396" s="121">
        <f>IF(D396&lt;&gt;"",IF(MONTH(D396)=MONTH(TODAY()),"🎂 Este mês!",""),"")</f>
        <v/>
      </c>
    </row>
    <row r="397">
      <c r="D397" s="115" t="n"/>
      <c r="H397" s="115" t="n"/>
      <c r="I397" s="115" t="n"/>
      <c r="L397" s="116" t="n"/>
      <c r="N397" s="117">
        <f>IF(AND(L397&lt;&gt;"",F397&gt;0),L397/F397,"")</f>
        <v/>
      </c>
      <c r="R397" s="121">
        <f>IF(D397&lt;&gt;"",IF(MONTH(D397)=MONTH(TODAY()),"🎂 Este mês!",""),"")</f>
        <v/>
      </c>
    </row>
    <row r="398">
      <c r="D398" s="115" t="n"/>
      <c r="H398" s="115" t="n"/>
      <c r="I398" s="115" t="n"/>
      <c r="L398" s="116" t="n"/>
      <c r="N398" s="117">
        <f>IF(AND(L398&lt;&gt;"",F398&gt;0),L398/F398,"")</f>
        <v/>
      </c>
      <c r="R398" s="121">
        <f>IF(D398&lt;&gt;"",IF(MONTH(D398)=MONTH(TODAY()),"🎂 Este mês!",""),"")</f>
        <v/>
      </c>
    </row>
    <row r="399">
      <c r="D399" s="115" t="n"/>
      <c r="H399" s="115" t="n"/>
      <c r="I399" s="115" t="n"/>
      <c r="L399" s="116" t="n"/>
      <c r="N399" s="117">
        <f>IF(AND(L399&lt;&gt;"",F399&gt;0),L399/F399,"")</f>
        <v/>
      </c>
      <c r="R399" s="121">
        <f>IF(D399&lt;&gt;"",IF(MONTH(D399)=MONTH(TODAY()),"🎂 Este mês!",""),"")</f>
        <v/>
      </c>
    </row>
    <row r="400">
      <c r="D400" s="115" t="n"/>
      <c r="H400" s="115" t="n"/>
      <c r="I400" s="115" t="n"/>
      <c r="L400" s="116" t="n"/>
      <c r="N400" s="117">
        <f>IF(AND(L400&lt;&gt;"",F400&gt;0),L400/F400,"")</f>
        <v/>
      </c>
      <c r="R400" s="121">
        <f>IF(D400&lt;&gt;"",IF(MONTH(D400)=MONTH(TODAY()),"🎂 Este mês!",""),"")</f>
        <v/>
      </c>
    </row>
  </sheetData>
  <mergeCells count="1">
    <mergeCell ref="B2:R2"/>
  </mergeCells>
  <conditionalFormatting sqref="G4:G400">
    <cfRule type="containsText" priority="1" operator="containsText" dxfId="5" text="VIP">
      <formula>NOT(ISERROR(SEARCH("VIP",G4)))</formula>
    </cfRule>
    <cfRule type="containsText" priority="2" operator="containsText" dxfId="0" text="Fidelizado">
      <formula>NOT(ISERROR(SEARCH("Fidelizado",G4)))</formula>
    </cfRule>
    <cfRule type="containsText" priority="3" operator="containsText" dxfId="6" text="Inativo">
      <formula>NOT(ISERROR(SEARCH("Inativo",G4)))</formula>
    </cfRule>
    <cfRule type="containsText" priority="4" operator="containsText" dxfId="2" text="Bloqueado">
      <formula>NOT(ISERROR(SEARCH("Bloqueado",G4)))</formula>
    </cfRule>
  </conditionalFormatting>
  <dataValidations count="2">
    <dataValidation sqref="G4:G400" showDropDown="0" showInputMessage="0" showErrorMessage="0" allowBlank="0" type="list">
      <formula1>"⭐ VIP,✅ Ativo,💎 Fidelizado,😴 Inativo,👁️ Prospect,🚫 Bloqueado"</formula1>
    </dataValidation>
    <dataValidation sqref="Q4:Q400" showDropDown="0" showInputMessage="0" showErrorMessage="0" allowBlank="0" type="list">
      <formula1>"Instagram,Facebook,WhatsApp,Google,Indicação,TikTok,Evento,Outro"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8" customWidth="1" min="4" max="4"/>
    <col width="14" customWidth="1" min="5" max="5"/>
    <col width="20" customWidth="1" min="6" max="6"/>
    <col width="30" customWidth="1" min="7" max="7"/>
    <col width="1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48" t="inlineStr">
        <is>
          <t>🔔  FOLLOW-UP AUTOMÁTICO — ALERTAS DE RETORNO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2" customHeight="1">
      <c r="A4" s="1" t="n"/>
      <c r="B4" s="38" t="inlineStr">
        <is>
          <t>CLIENTE</t>
        </is>
      </c>
      <c r="C4" s="38" t="inlineStr">
        <is>
          <t>TELEFONE</t>
        </is>
      </c>
      <c r="D4" s="38" t="inlineStr">
        <is>
          <t>DATA ÚLTIMA TATTOO</t>
        </is>
      </c>
      <c r="E4" s="38" t="inlineStr">
        <is>
          <t>DIAS PASSADOS</t>
        </is>
      </c>
      <c r="F4" s="38" t="inlineStr">
        <is>
          <t>ALERTA</t>
        </is>
      </c>
      <c r="G4" s="38" t="inlineStr">
        <is>
          <t>AÇÃO SUGERIDA</t>
        </is>
      </c>
      <c r="H4" s="38" t="inlineStr">
        <is>
          <t>STATUS</t>
        </is>
      </c>
      <c r="I4" s="1" t="n"/>
      <c r="J4" s="1" t="n"/>
      <c r="K4" s="1" t="n"/>
      <c r="L4" s="1" t="n"/>
      <c r="M4" s="1" t="n"/>
    </row>
    <row r="5" ht="18" customHeight="1">
      <c r="A5" s="1" t="n"/>
      <c r="B5" s="39" t="n"/>
      <c r="C5" s="39" t="n"/>
      <c r="D5" s="39" t="n"/>
      <c r="E5" s="49">
        <f>IF(D5&lt;&gt;"",TODAY()-D5,"")</f>
        <v/>
      </c>
      <c r="F5" s="39">
        <f>IF(E5="","",IF(E5&gt;90,"🔴 ENTRAR EM CONTATO",IF(E5&gt;60,"🟡 VERIFICAR EM BREVE","🟢 OK")))</f>
        <v/>
      </c>
      <c r="G5" s="39">
        <f>IF(E5&gt;90,"Enviar mensagem no WhatsApp com oferta especial",IF(E5&gt;60,"Perguntar sobre nova ideia de tattoo","Aguardar"))</f>
        <v/>
      </c>
      <c r="H5" s="39" t="n"/>
      <c r="I5" s="1" t="n"/>
      <c r="J5" s="1" t="n"/>
      <c r="K5" s="1" t="n"/>
      <c r="L5" s="1" t="n"/>
      <c r="M5" s="1" t="n"/>
    </row>
    <row r="6" ht="18" customHeight="1">
      <c r="A6" s="1" t="n"/>
      <c r="B6" s="33" t="n"/>
      <c r="C6" s="33" t="n"/>
      <c r="D6" s="33" t="n"/>
      <c r="E6" s="50">
        <f>IF(D6&lt;&gt;"",TODAY()-D6,"")</f>
        <v/>
      </c>
      <c r="F6" s="33">
        <f>IF(E6="","",IF(E6&gt;90,"🔴 ENTRAR EM CONTATO",IF(E6&gt;60,"🟡 VERIFICAR EM BREVE","🟢 OK")))</f>
        <v/>
      </c>
      <c r="G6" s="33">
        <f>IF(E6&gt;90,"Enviar mensagem no WhatsApp com oferta especial",IF(E6&gt;60,"Perguntar sobre nova ideia de tattoo","Aguardar"))</f>
        <v/>
      </c>
      <c r="H6" s="33" t="n"/>
      <c r="I6" s="1" t="n"/>
      <c r="J6" s="1" t="n"/>
      <c r="K6" s="1" t="n"/>
      <c r="L6" s="1" t="n"/>
      <c r="M6" s="1" t="n"/>
    </row>
    <row r="7" ht="18" customHeight="1">
      <c r="A7" s="1" t="n"/>
      <c r="B7" s="39" t="n"/>
      <c r="C7" s="39" t="n"/>
      <c r="D7" s="39" t="n"/>
      <c r="E7" s="49">
        <f>IF(D7&lt;&gt;"",TODAY()-D7,"")</f>
        <v/>
      </c>
      <c r="F7" s="39">
        <f>IF(E7="","",IF(E7&gt;90,"🔴 ENTRAR EM CONTATO",IF(E7&gt;60,"🟡 VERIFICAR EM BREVE","🟢 OK")))</f>
        <v/>
      </c>
      <c r="G7" s="39">
        <f>IF(E7&gt;90,"Enviar mensagem no WhatsApp com oferta especial",IF(E7&gt;60,"Perguntar sobre nova ideia de tattoo","Aguardar"))</f>
        <v/>
      </c>
      <c r="H7" s="39" t="n"/>
      <c r="I7" s="1" t="n"/>
      <c r="J7" s="1" t="n"/>
      <c r="K7" s="1" t="n"/>
      <c r="L7" s="1" t="n"/>
      <c r="M7" s="1" t="n"/>
    </row>
    <row r="8" ht="18" customHeight="1">
      <c r="A8" s="1" t="n"/>
      <c r="B8" s="33" t="n"/>
      <c r="C8" s="33" t="n"/>
      <c r="D8" s="33" t="n"/>
      <c r="E8" s="50">
        <f>IF(D8&lt;&gt;"",TODAY()-D8,"")</f>
        <v/>
      </c>
      <c r="F8" s="33">
        <f>IF(E8="","",IF(E8&gt;90,"🔴 ENTRAR EM CONTATO",IF(E8&gt;60,"🟡 VERIFICAR EM BREVE","🟢 OK")))</f>
        <v/>
      </c>
      <c r="G8" s="33">
        <f>IF(E8&gt;90,"Enviar mensagem no WhatsApp com oferta especial",IF(E8&gt;60,"Perguntar sobre nova ideia de tattoo","Aguardar"))</f>
        <v/>
      </c>
      <c r="H8" s="33" t="n"/>
      <c r="I8" s="1" t="n"/>
      <c r="J8" s="1" t="n"/>
      <c r="K8" s="1" t="n"/>
      <c r="L8" s="1" t="n"/>
      <c r="M8" s="1" t="n"/>
    </row>
    <row r="9" ht="18" customHeight="1">
      <c r="A9" s="1" t="n"/>
      <c r="B9" s="39" t="n"/>
      <c r="C9" s="39" t="n"/>
      <c r="D9" s="39" t="n"/>
      <c r="E9" s="49">
        <f>IF(D9&lt;&gt;"",TODAY()-D9,"")</f>
        <v/>
      </c>
      <c r="F9" s="39">
        <f>IF(E9="","",IF(E9&gt;90,"🔴 ENTRAR EM CONTATO",IF(E9&gt;60,"🟡 VERIFICAR EM BREVE","🟢 OK")))</f>
        <v/>
      </c>
      <c r="G9" s="39">
        <f>IF(E9&gt;90,"Enviar mensagem no WhatsApp com oferta especial",IF(E9&gt;60,"Perguntar sobre nova ideia de tattoo","Aguardar"))</f>
        <v/>
      </c>
      <c r="H9" s="39" t="n"/>
      <c r="I9" s="1" t="n"/>
      <c r="J9" s="1" t="n"/>
      <c r="K9" s="1" t="n"/>
      <c r="L9" s="1" t="n"/>
      <c r="M9" s="1" t="n"/>
    </row>
    <row r="10" ht="18" customHeight="1">
      <c r="A10" s="1" t="n"/>
      <c r="B10" s="33" t="n"/>
      <c r="C10" s="33" t="n"/>
      <c r="D10" s="33" t="n"/>
      <c r="E10" s="50">
        <f>IF(D10&lt;&gt;"",TODAY()-D10,"")</f>
        <v/>
      </c>
      <c r="F10" s="33">
        <f>IF(E10="","",IF(E10&gt;90,"🔴 ENTRAR EM CONTATO",IF(E10&gt;60,"🟡 VERIFICAR EM BREVE","🟢 OK")))</f>
        <v/>
      </c>
      <c r="G10" s="33">
        <f>IF(E10&gt;90,"Enviar mensagem no WhatsApp com oferta especial",IF(E10&gt;60,"Perguntar sobre nova ideia de tattoo","Aguardar"))</f>
        <v/>
      </c>
      <c r="H10" s="33" t="n"/>
      <c r="I10" s="1" t="n"/>
      <c r="J10" s="1" t="n"/>
      <c r="K10" s="1" t="n"/>
      <c r="L10" s="1" t="n"/>
      <c r="M10" s="1" t="n"/>
    </row>
    <row r="11" ht="18" customHeight="1">
      <c r="A11" s="1" t="n"/>
      <c r="B11" s="39" t="n"/>
      <c r="C11" s="39" t="n"/>
      <c r="D11" s="39" t="n"/>
      <c r="E11" s="49">
        <f>IF(D11&lt;&gt;"",TODAY()-D11,"")</f>
        <v/>
      </c>
      <c r="F11" s="39">
        <f>IF(E11="","",IF(E11&gt;90,"🔴 ENTRAR EM CONTATO",IF(E11&gt;60,"🟡 VERIFICAR EM BREVE","🟢 OK")))</f>
        <v/>
      </c>
      <c r="G11" s="39">
        <f>IF(E11&gt;90,"Enviar mensagem no WhatsApp com oferta especial",IF(E11&gt;60,"Perguntar sobre nova ideia de tattoo","Aguardar"))</f>
        <v/>
      </c>
      <c r="H11" s="39" t="n"/>
      <c r="I11" s="1" t="n"/>
      <c r="J11" s="1" t="n"/>
      <c r="K11" s="1" t="n"/>
      <c r="L11" s="1" t="n"/>
      <c r="M11" s="1" t="n"/>
    </row>
    <row r="12" ht="18" customHeight="1">
      <c r="A12" s="1" t="n"/>
      <c r="B12" s="33" t="n"/>
      <c r="C12" s="33" t="n"/>
      <c r="D12" s="33" t="n"/>
      <c r="E12" s="50">
        <f>IF(D12&lt;&gt;"",TODAY()-D12,"")</f>
        <v/>
      </c>
      <c r="F12" s="33">
        <f>IF(E12="","",IF(E12&gt;90,"🔴 ENTRAR EM CONTATO",IF(E12&gt;60,"🟡 VERIFICAR EM BREVE","🟢 OK")))</f>
        <v/>
      </c>
      <c r="G12" s="33">
        <f>IF(E12&gt;90,"Enviar mensagem no WhatsApp com oferta especial",IF(E12&gt;60,"Perguntar sobre nova ideia de tattoo","Aguardar"))</f>
        <v/>
      </c>
      <c r="H12" s="33" t="n"/>
      <c r="I12" s="1" t="n"/>
      <c r="J12" s="1" t="n"/>
      <c r="K12" s="1" t="n"/>
      <c r="L12" s="1" t="n"/>
      <c r="M12" s="1" t="n"/>
    </row>
    <row r="13" ht="18" customHeight="1">
      <c r="A13" s="1" t="n"/>
      <c r="B13" s="39" t="n"/>
      <c r="C13" s="39" t="n"/>
      <c r="D13" s="39" t="n"/>
      <c r="E13" s="49">
        <f>IF(D13&lt;&gt;"",TODAY()-D13,"")</f>
        <v/>
      </c>
      <c r="F13" s="39">
        <f>IF(E13="","",IF(E13&gt;90,"🔴 ENTRAR EM CONTATO",IF(E13&gt;60,"🟡 VERIFICAR EM BREVE","🟢 OK")))</f>
        <v/>
      </c>
      <c r="G13" s="39">
        <f>IF(E13&gt;90,"Enviar mensagem no WhatsApp com oferta especial",IF(E13&gt;60,"Perguntar sobre nova ideia de tattoo","Aguardar"))</f>
        <v/>
      </c>
      <c r="H13" s="39" t="n"/>
      <c r="I13" s="1" t="n"/>
      <c r="J13" s="1" t="n"/>
      <c r="K13" s="1" t="n"/>
      <c r="L13" s="1" t="n"/>
      <c r="M13" s="1" t="n"/>
    </row>
    <row r="14" ht="18" customHeight="1">
      <c r="A14" s="1" t="n"/>
      <c r="B14" s="33" t="n"/>
      <c r="C14" s="33" t="n"/>
      <c r="D14" s="33" t="n"/>
      <c r="E14" s="50">
        <f>IF(D14&lt;&gt;"",TODAY()-D14,"")</f>
        <v/>
      </c>
      <c r="F14" s="33">
        <f>IF(E14="","",IF(E14&gt;90,"🔴 ENTRAR EM CONTATO",IF(E14&gt;60,"🟡 VERIFICAR EM BREVE","🟢 OK")))</f>
        <v/>
      </c>
      <c r="G14" s="33">
        <f>IF(E14&gt;90,"Enviar mensagem no WhatsApp com oferta especial",IF(E14&gt;60,"Perguntar sobre nova ideia de tattoo","Aguardar"))</f>
        <v/>
      </c>
      <c r="H14" s="33" t="n"/>
      <c r="I14" s="1" t="n"/>
      <c r="J14" s="1" t="n"/>
      <c r="K14" s="1" t="n"/>
      <c r="L14" s="1" t="n"/>
      <c r="M14" s="1" t="n"/>
    </row>
    <row r="15" ht="18" customHeight="1">
      <c r="A15" s="1" t="n"/>
      <c r="B15" s="39" t="n"/>
      <c r="C15" s="39" t="n"/>
      <c r="D15" s="39" t="n"/>
      <c r="E15" s="49">
        <f>IF(D15&lt;&gt;"",TODAY()-D15,"")</f>
        <v/>
      </c>
      <c r="F15" s="39">
        <f>IF(E15="","",IF(E15&gt;90,"🔴 ENTRAR EM CONTATO",IF(E15&gt;60,"🟡 VERIFICAR EM BREVE","🟢 OK")))</f>
        <v/>
      </c>
      <c r="G15" s="39">
        <f>IF(E15&gt;90,"Enviar mensagem no WhatsApp com oferta especial",IF(E15&gt;60,"Perguntar sobre nova ideia de tattoo","Aguardar"))</f>
        <v/>
      </c>
      <c r="H15" s="39" t="n"/>
      <c r="I15" s="1" t="n"/>
      <c r="J15" s="1" t="n"/>
      <c r="K15" s="1" t="n"/>
      <c r="L15" s="1" t="n"/>
      <c r="M15" s="1" t="n"/>
    </row>
    <row r="16" ht="18" customHeight="1">
      <c r="A16" s="1" t="n"/>
      <c r="B16" s="33" t="n"/>
      <c r="C16" s="33" t="n"/>
      <c r="D16" s="33" t="n"/>
      <c r="E16" s="50">
        <f>IF(D16&lt;&gt;"",TODAY()-D16,"")</f>
        <v/>
      </c>
      <c r="F16" s="33">
        <f>IF(E16="","",IF(E16&gt;90,"🔴 ENTRAR EM CONTATO",IF(E16&gt;60,"🟡 VERIFICAR EM BREVE","🟢 OK")))</f>
        <v/>
      </c>
      <c r="G16" s="33">
        <f>IF(E16&gt;90,"Enviar mensagem no WhatsApp com oferta especial",IF(E16&gt;60,"Perguntar sobre nova ideia de tattoo","Aguardar"))</f>
        <v/>
      </c>
      <c r="H16" s="33" t="n"/>
      <c r="I16" s="1" t="n"/>
      <c r="J16" s="1" t="n"/>
      <c r="K16" s="1" t="n"/>
      <c r="L16" s="1" t="n"/>
      <c r="M16" s="1" t="n"/>
    </row>
    <row r="17" ht="18" customHeight="1">
      <c r="A17" s="1" t="n"/>
      <c r="B17" s="39" t="n"/>
      <c r="C17" s="39" t="n"/>
      <c r="D17" s="39" t="n"/>
      <c r="E17" s="49">
        <f>IF(D17&lt;&gt;"",TODAY()-D17,"")</f>
        <v/>
      </c>
      <c r="F17" s="39">
        <f>IF(E17="","",IF(E17&gt;90,"🔴 ENTRAR EM CONTATO",IF(E17&gt;60,"🟡 VERIFICAR EM BREVE","🟢 OK")))</f>
        <v/>
      </c>
      <c r="G17" s="39">
        <f>IF(E17&gt;90,"Enviar mensagem no WhatsApp com oferta especial",IF(E17&gt;60,"Perguntar sobre nova ideia de tattoo","Aguardar"))</f>
        <v/>
      </c>
      <c r="H17" s="39" t="n"/>
      <c r="I17" s="1" t="n"/>
      <c r="J17" s="1" t="n"/>
      <c r="K17" s="1" t="n"/>
      <c r="L17" s="1" t="n"/>
      <c r="M17" s="1" t="n"/>
    </row>
    <row r="18" ht="18" customHeight="1">
      <c r="A18" s="1" t="n"/>
      <c r="B18" s="33" t="n"/>
      <c r="C18" s="33" t="n"/>
      <c r="D18" s="33" t="n"/>
      <c r="E18" s="50">
        <f>IF(D18&lt;&gt;"",TODAY()-D18,"")</f>
        <v/>
      </c>
      <c r="F18" s="33">
        <f>IF(E18="","",IF(E18&gt;90,"🔴 ENTRAR EM CONTATO",IF(E18&gt;60,"🟡 VERIFICAR EM BREVE","🟢 OK")))</f>
        <v/>
      </c>
      <c r="G18" s="33">
        <f>IF(E18&gt;90,"Enviar mensagem no WhatsApp com oferta especial",IF(E18&gt;60,"Perguntar sobre nova ideia de tattoo","Aguardar"))</f>
        <v/>
      </c>
      <c r="H18" s="33" t="n"/>
      <c r="I18" s="1" t="n"/>
      <c r="J18" s="1" t="n"/>
      <c r="K18" s="1" t="n"/>
      <c r="L18" s="1" t="n"/>
      <c r="M18" s="1" t="n"/>
    </row>
    <row r="19" ht="18" customHeight="1">
      <c r="A19" s="1" t="n"/>
      <c r="B19" s="39" t="n"/>
      <c r="C19" s="39" t="n"/>
      <c r="D19" s="39" t="n"/>
      <c r="E19" s="49">
        <f>IF(D19&lt;&gt;"",TODAY()-D19,"")</f>
        <v/>
      </c>
      <c r="F19" s="39">
        <f>IF(E19="","",IF(E19&gt;90,"🔴 ENTRAR EM CONTATO",IF(E19&gt;60,"🟡 VERIFICAR EM BREVE","🟢 OK")))</f>
        <v/>
      </c>
      <c r="G19" s="39">
        <f>IF(E19&gt;90,"Enviar mensagem no WhatsApp com oferta especial",IF(E19&gt;60,"Perguntar sobre nova ideia de tattoo","Aguardar"))</f>
        <v/>
      </c>
      <c r="H19" s="39" t="n"/>
      <c r="I19" s="1" t="n"/>
      <c r="J19" s="1" t="n"/>
      <c r="K19" s="1" t="n"/>
      <c r="L19" s="1" t="n"/>
      <c r="M19" s="1" t="n"/>
    </row>
    <row r="20" ht="18" customHeight="1">
      <c r="A20" s="1" t="n"/>
      <c r="B20" s="33" t="n"/>
      <c r="C20" s="33" t="n"/>
      <c r="D20" s="33" t="n"/>
      <c r="E20" s="50">
        <f>IF(D20&lt;&gt;"",TODAY()-D20,"")</f>
        <v/>
      </c>
      <c r="F20" s="33">
        <f>IF(E20="","",IF(E20&gt;90,"🔴 ENTRAR EM CONTATO",IF(E20&gt;60,"🟡 VERIFICAR EM BREVE","🟢 OK")))</f>
        <v/>
      </c>
      <c r="G20" s="33">
        <f>IF(E20&gt;90,"Enviar mensagem no WhatsApp com oferta especial",IF(E20&gt;60,"Perguntar sobre nova ideia de tattoo","Aguardar"))</f>
        <v/>
      </c>
      <c r="H20" s="33" t="n"/>
      <c r="I20" s="1" t="n"/>
      <c r="J20" s="1" t="n"/>
      <c r="K20" s="1" t="n"/>
      <c r="L20" s="1" t="n"/>
      <c r="M20" s="1" t="n"/>
    </row>
    <row r="21" ht="18" customHeight="1">
      <c r="A21" s="1" t="n"/>
      <c r="B21" s="39" t="n"/>
      <c r="C21" s="39" t="n"/>
      <c r="D21" s="39" t="n"/>
      <c r="E21" s="49">
        <f>IF(D21&lt;&gt;"",TODAY()-D21,"")</f>
        <v/>
      </c>
      <c r="F21" s="39">
        <f>IF(E21="","",IF(E21&gt;90,"🔴 ENTRAR EM CONTATO",IF(E21&gt;60,"🟡 VERIFICAR EM BREVE","🟢 OK")))</f>
        <v/>
      </c>
      <c r="G21" s="39">
        <f>IF(E21&gt;90,"Enviar mensagem no WhatsApp com oferta especial",IF(E21&gt;60,"Perguntar sobre nova ideia de tattoo","Aguardar"))</f>
        <v/>
      </c>
      <c r="H21" s="39" t="n"/>
      <c r="I21" s="1" t="n"/>
      <c r="J21" s="1" t="n"/>
      <c r="K21" s="1" t="n"/>
      <c r="L21" s="1" t="n"/>
      <c r="M21" s="1" t="n"/>
    </row>
    <row r="22" ht="18" customHeight="1">
      <c r="A22" s="1" t="n"/>
      <c r="B22" s="33" t="n"/>
      <c r="C22" s="33" t="n"/>
      <c r="D22" s="33" t="n"/>
      <c r="E22" s="50">
        <f>IF(D22&lt;&gt;"",TODAY()-D22,"")</f>
        <v/>
      </c>
      <c r="F22" s="33">
        <f>IF(E22="","",IF(E22&gt;90,"🔴 ENTRAR EM CONTATO",IF(E22&gt;60,"🟡 VERIFICAR EM BREVE","🟢 OK")))</f>
        <v/>
      </c>
      <c r="G22" s="33">
        <f>IF(E22&gt;90,"Enviar mensagem no WhatsApp com oferta especial",IF(E22&gt;60,"Perguntar sobre nova ideia de tattoo","Aguardar"))</f>
        <v/>
      </c>
      <c r="H22" s="33" t="n"/>
      <c r="I22" s="1" t="n"/>
      <c r="J22" s="1" t="n"/>
      <c r="K22" s="1" t="n"/>
      <c r="L22" s="1" t="n"/>
      <c r="M22" s="1" t="n"/>
    </row>
    <row r="23" ht="18" customHeight="1">
      <c r="A23" s="1" t="n"/>
      <c r="B23" s="39" t="n"/>
      <c r="C23" s="39" t="n"/>
      <c r="D23" s="39" t="n"/>
      <c r="E23" s="49">
        <f>IF(D23&lt;&gt;"",TODAY()-D23,"")</f>
        <v/>
      </c>
      <c r="F23" s="39">
        <f>IF(E23="","",IF(E23&gt;90,"🔴 ENTRAR EM CONTATO",IF(E23&gt;60,"🟡 VERIFICAR EM BREVE","🟢 OK")))</f>
        <v/>
      </c>
      <c r="G23" s="39">
        <f>IF(E23&gt;90,"Enviar mensagem no WhatsApp com oferta especial",IF(E23&gt;60,"Perguntar sobre nova ideia de tattoo","Aguardar"))</f>
        <v/>
      </c>
      <c r="H23" s="39" t="n"/>
      <c r="I23" s="1" t="n"/>
      <c r="J23" s="1" t="n"/>
      <c r="K23" s="1" t="n"/>
      <c r="L23" s="1" t="n"/>
      <c r="M23" s="1" t="n"/>
    </row>
    <row r="24" ht="18" customHeight="1">
      <c r="A24" s="1" t="n"/>
      <c r="B24" s="33" t="n"/>
      <c r="C24" s="33" t="n"/>
      <c r="D24" s="33" t="n"/>
      <c r="E24" s="50">
        <f>IF(D24&lt;&gt;"",TODAY()-D24,"")</f>
        <v/>
      </c>
      <c r="F24" s="33">
        <f>IF(E24="","",IF(E24&gt;90,"🔴 ENTRAR EM CONTATO",IF(E24&gt;60,"🟡 VERIFICAR EM BREVE","🟢 OK")))</f>
        <v/>
      </c>
      <c r="G24" s="33">
        <f>IF(E24&gt;90,"Enviar mensagem no WhatsApp com oferta especial",IF(E24&gt;60,"Perguntar sobre nova ideia de tattoo","Aguardar"))</f>
        <v/>
      </c>
      <c r="H24" s="33" t="n"/>
      <c r="I24" s="1" t="n"/>
      <c r="J24" s="1" t="n"/>
      <c r="K24" s="1" t="n"/>
      <c r="L24" s="1" t="n"/>
      <c r="M24" s="1" t="n"/>
    </row>
    <row r="25" ht="18" customHeight="1">
      <c r="A25" s="1" t="n"/>
      <c r="B25" s="39" t="n"/>
      <c r="C25" s="39" t="n"/>
      <c r="D25" s="39" t="n"/>
      <c r="E25" s="49">
        <f>IF(D25&lt;&gt;"",TODAY()-D25,"")</f>
        <v/>
      </c>
      <c r="F25" s="39">
        <f>IF(E25="","",IF(E25&gt;90,"🔴 ENTRAR EM CONTATO",IF(E25&gt;60,"🟡 VERIFICAR EM BREVE","🟢 OK")))</f>
        <v/>
      </c>
      <c r="G25" s="39">
        <f>IF(E25&gt;90,"Enviar mensagem no WhatsApp com oferta especial",IF(E25&gt;60,"Perguntar sobre nova ideia de tattoo","Aguardar"))</f>
        <v/>
      </c>
      <c r="H25" s="39" t="n"/>
      <c r="I25" s="1" t="n"/>
      <c r="J25" s="1" t="n"/>
      <c r="K25" s="1" t="n"/>
      <c r="L25" s="1" t="n"/>
      <c r="M25" s="1" t="n"/>
    </row>
    <row r="26" ht="18" customHeight="1">
      <c r="A26" s="1" t="n"/>
      <c r="B26" s="33" t="n"/>
      <c r="C26" s="33" t="n"/>
      <c r="D26" s="33" t="n"/>
      <c r="E26" s="50">
        <f>IF(D26&lt;&gt;"",TODAY()-D26,"")</f>
        <v/>
      </c>
      <c r="F26" s="33">
        <f>IF(E26="","",IF(E26&gt;90,"🔴 ENTRAR EM CONTATO",IF(E26&gt;60,"🟡 VERIFICAR EM BREVE","🟢 OK")))</f>
        <v/>
      </c>
      <c r="G26" s="33">
        <f>IF(E26&gt;90,"Enviar mensagem no WhatsApp com oferta especial",IF(E26&gt;60,"Perguntar sobre nova ideia de tattoo","Aguardar"))</f>
        <v/>
      </c>
      <c r="H26" s="33" t="n"/>
      <c r="I26" s="1" t="n"/>
      <c r="J26" s="1" t="n"/>
      <c r="K26" s="1" t="n"/>
      <c r="L26" s="1" t="n"/>
      <c r="M26" s="1" t="n"/>
    </row>
    <row r="27" ht="18" customHeight="1">
      <c r="A27" s="1" t="n"/>
      <c r="B27" s="39" t="n"/>
      <c r="C27" s="39" t="n"/>
      <c r="D27" s="39" t="n"/>
      <c r="E27" s="49">
        <f>IF(D27&lt;&gt;"",TODAY()-D27,"")</f>
        <v/>
      </c>
      <c r="F27" s="39">
        <f>IF(E27="","",IF(E27&gt;90,"🔴 ENTRAR EM CONTATO",IF(E27&gt;60,"🟡 VERIFICAR EM BREVE","🟢 OK")))</f>
        <v/>
      </c>
      <c r="G27" s="39">
        <f>IF(E27&gt;90,"Enviar mensagem no WhatsApp com oferta especial",IF(E27&gt;60,"Perguntar sobre nova ideia de tattoo","Aguardar"))</f>
        <v/>
      </c>
      <c r="H27" s="39" t="n"/>
      <c r="I27" s="1" t="n"/>
      <c r="J27" s="1" t="n"/>
      <c r="K27" s="1" t="n"/>
      <c r="L27" s="1" t="n"/>
      <c r="M27" s="1" t="n"/>
    </row>
    <row r="28" ht="18" customHeight="1">
      <c r="A28" s="1" t="n"/>
      <c r="B28" s="33" t="n"/>
      <c r="C28" s="33" t="n"/>
      <c r="D28" s="33" t="n"/>
      <c r="E28" s="50">
        <f>IF(D28&lt;&gt;"",TODAY()-D28,"")</f>
        <v/>
      </c>
      <c r="F28" s="33">
        <f>IF(E28="","",IF(E28&gt;90,"🔴 ENTRAR EM CONTATO",IF(E28&gt;60,"🟡 VERIFICAR EM BREVE","🟢 OK")))</f>
        <v/>
      </c>
      <c r="G28" s="33">
        <f>IF(E28&gt;90,"Enviar mensagem no WhatsApp com oferta especial",IF(E28&gt;60,"Perguntar sobre nova ideia de tattoo","Aguardar"))</f>
        <v/>
      </c>
      <c r="H28" s="33" t="n"/>
      <c r="I28" s="1" t="n"/>
      <c r="J28" s="1" t="n"/>
      <c r="K28" s="1" t="n"/>
      <c r="L28" s="1" t="n"/>
      <c r="M28" s="1" t="n"/>
    </row>
    <row r="29" ht="18" customHeight="1">
      <c r="A29" s="1" t="n"/>
      <c r="B29" s="39" t="n"/>
      <c r="C29" s="39" t="n"/>
      <c r="D29" s="39" t="n"/>
      <c r="E29" s="49">
        <f>IF(D29&lt;&gt;"",TODAY()-D29,"")</f>
        <v/>
      </c>
      <c r="F29" s="39">
        <f>IF(E29="","",IF(E29&gt;90,"🔴 ENTRAR EM CONTATO",IF(E29&gt;60,"🟡 VERIFICAR EM BREVE","🟢 OK")))</f>
        <v/>
      </c>
      <c r="G29" s="39">
        <f>IF(E29&gt;90,"Enviar mensagem no WhatsApp com oferta especial",IF(E29&gt;60,"Perguntar sobre nova ideia de tattoo","Aguardar"))</f>
        <v/>
      </c>
      <c r="H29" s="39" t="n"/>
      <c r="I29" s="1" t="n"/>
      <c r="J29" s="1" t="n"/>
      <c r="K29" s="1" t="n"/>
      <c r="L29" s="1" t="n"/>
      <c r="M29" s="1" t="n"/>
    </row>
    <row r="30" ht="18" customHeight="1">
      <c r="A30" s="1" t="n"/>
      <c r="B30" s="33" t="n"/>
      <c r="C30" s="33" t="n"/>
      <c r="D30" s="33" t="n"/>
      <c r="E30" s="50">
        <f>IF(D30&lt;&gt;"",TODAY()-D30,"")</f>
        <v/>
      </c>
      <c r="F30" s="33">
        <f>IF(E30="","",IF(E30&gt;90,"🔴 ENTRAR EM CONTATO",IF(E30&gt;60,"🟡 VERIFICAR EM BREVE","🟢 OK")))</f>
        <v/>
      </c>
      <c r="G30" s="33">
        <f>IF(E30&gt;90,"Enviar mensagem no WhatsApp com oferta especial",IF(E30&gt;60,"Perguntar sobre nova ideia de tattoo","Aguardar"))</f>
        <v/>
      </c>
      <c r="H30" s="33" t="n"/>
      <c r="I30" s="1" t="n"/>
      <c r="J30" s="1" t="n"/>
      <c r="K30" s="1" t="n"/>
      <c r="L30" s="1" t="n"/>
      <c r="M30" s="1" t="n"/>
    </row>
    <row r="31" ht="18" customHeight="1">
      <c r="A31" s="1" t="n"/>
      <c r="B31" s="39" t="n"/>
      <c r="C31" s="39" t="n"/>
      <c r="D31" s="39" t="n"/>
      <c r="E31" s="49">
        <f>IF(D31&lt;&gt;"",TODAY()-D31,"")</f>
        <v/>
      </c>
      <c r="F31" s="39">
        <f>IF(E31="","",IF(E31&gt;90,"🔴 ENTRAR EM CONTATO",IF(E31&gt;60,"🟡 VERIFICAR EM BREVE","🟢 OK")))</f>
        <v/>
      </c>
      <c r="G31" s="39">
        <f>IF(E31&gt;90,"Enviar mensagem no WhatsApp com oferta especial",IF(E31&gt;60,"Perguntar sobre nova ideia de tattoo","Aguardar"))</f>
        <v/>
      </c>
      <c r="H31" s="39" t="n"/>
      <c r="I31" s="1" t="n"/>
      <c r="J31" s="1" t="n"/>
      <c r="K31" s="1" t="n"/>
      <c r="L31" s="1" t="n"/>
      <c r="M31" s="1" t="n"/>
    </row>
    <row r="32" ht="18" customHeight="1">
      <c r="A32" s="1" t="n"/>
      <c r="B32" s="33" t="n"/>
      <c r="C32" s="33" t="n"/>
      <c r="D32" s="33" t="n"/>
      <c r="E32" s="50">
        <f>IF(D32&lt;&gt;"",TODAY()-D32,"")</f>
        <v/>
      </c>
      <c r="F32" s="33">
        <f>IF(E32="","",IF(E32&gt;90,"🔴 ENTRAR EM CONTATO",IF(E32&gt;60,"🟡 VERIFICAR EM BREVE","🟢 OK")))</f>
        <v/>
      </c>
      <c r="G32" s="33">
        <f>IF(E32&gt;90,"Enviar mensagem no WhatsApp com oferta especial",IF(E32&gt;60,"Perguntar sobre nova ideia de tattoo","Aguardar"))</f>
        <v/>
      </c>
      <c r="H32" s="33" t="n"/>
      <c r="I32" s="1" t="n"/>
      <c r="J32" s="1" t="n"/>
      <c r="K32" s="1" t="n"/>
      <c r="L32" s="1" t="n"/>
      <c r="M32" s="1" t="n"/>
    </row>
    <row r="33" ht="18" customHeight="1">
      <c r="A33" s="1" t="n"/>
      <c r="B33" s="39" t="n"/>
      <c r="C33" s="39" t="n"/>
      <c r="D33" s="39" t="n"/>
      <c r="E33" s="49">
        <f>IF(D33&lt;&gt;"",TODAY()-D33,"")</f>
        <v/>
      </c>
      <c r="F33" s="39">
        <f>IF(E33="","",IF(E33&gt;90,"🔴 ENTRAR EM CONTATO",IF(E33&gt;60,"🟡 VERIFICAR EM BREVE","🟢 OK")))</f>
        <v/>
      </c>
      <c r="G33" s="39">
        <f>IF(E33&gt;90,"Enviar mensagem no WhatsApp com oferta especial",IF(E33&gt;60,"Perguntar sobre nova ideia de tattoo","Aguardar"))</f>
        <v/>
      </c>
      <c r="H33" s="39" t="n"/>
      <c r="I33" s="1" t="n"/>
      <c r="J33" s="1" t="n"/>
      <c r="K33" s="1" t="n"/>
      <c r="L33" s="1" t="n"/>
      <c r="M33" s="1" t="n"/>
    </row>
    <row r="34" ht="18" customHeight="1">
      <c r="A34" s="1" t="n"/>
      <c r="B34" s="33" t="n"/>
      <c r="C34" s="33" t="n"/>
      <c r="D34" s="33" t="n"/>
      <c r="E34" s="50">
        <f>IF(D34&lt;&gt;"",TODAY()-D34,"")</f>
        <v/>
      </c>
      <c r="F34" s="33">
        <f>IF(E34="","",IF(E34&gt;90,"🔴 ENTRAR EM CONTATO",IF(E34&gt;60,"🟡 VERIFICAR EM BREVE","🟢 OK")))</f>
        <v/>
      </c>
      <c r="G34" s="33">
        <f>IF(E34&gt;90,"Enviar mensagem no WhatsApp com oferta especial",IF(E34&gt;60,"Perguntar sobre nova ideia de tattoo","Aguardar"))</f>
        <v/>
      </c>
      <c r="H34" s="33" t="n"/>
      <c r="I34" s="1" t="n"/>
      <c r="J34" s="1" t="n"/>
      <c r="K34" s="1" t="n"/>
      <c r="L34" s="1" t="n"/>
      <c r="M34" s="1" t="n"/>
    </row>
    <row r="35" ht="18" customHeight="1">
      <c r="A35" s="1" t="n"/>
      <c r="B35" s="39" t="n"/>
      <c r="C35" s="39" t="n"/>
      <c r="D35" s="39" t="n"/>
      <c r="E35" s="49">
        <f>IF(D35&lt;&gt;"",TODAY()-D35,"")</f>
        <v/>
      </c>
      <c r="F35" s="39">
        <f>IF(E35="","",IF(E35&gt;90,"🔴 ENTRAR EM CONTATO",IF(E35&gt;60,"🟡 VERIFICAR EM BREVE","🟢 OK")))</f>
        <v/>
      </c>
      <c r="G35" s="39">
        <f>IF(E35&gt;90,"Enviar mensagem no WhatsApp com oferta especial",IF(E35&gt;60,"Perguntar sobre nova ideia de tattoo","Aguardar"))</f>
        <v/>
      </c>
      <c r="H35" s="39" t="n"/>
      <c r="I35" s="1" t="n"/>
      <c r="J35" s="1" t="n"/>
      <c r="K35" s="1" t="n"/>
      <c r="L35" s="1" t="n"/>
      <c r="M35" s="1" t="n"/>
    </row>
    <row r="36" ht="18" customHeight="1">
      <c r="A36" s="1" t="n"/>
      <c r="B36" s="33" t="n"/>
      <c r="C36" s="33" t="n"/>
      <c r="D36" s="33" t="n"/>
      <c r="E36" s="50">
        <f>IF(D36&lt;&gt;"",TODAY()-D36,"")</f>
        <v/>
      </c>
      <c r="F36" s="33">
        <f>IF(E36="","",IF(E36&gt;90,"🔴 ENTRAR EM CONTATO",IF(E36&gt;60,"🟡 VERIFICAR EM BREVE","🟢 OK")))</f>
        <v/>
      </c>
      <c r="G36" s="33">
        <f>IF(E36&gt;90,"Enviar mensagem no WhatsApp com oferta especial",IF(E36&gt;60,"Perguntar sobre nova ideia de tattoo","Aguardar"))</f>
        <v/>
      </c>
      <c r="H36" s="33" t="n"/>
      <c r="I36" s="1" t="n"/>
      <c r="J36" s="1" t="n"/>
      <c r="K36" s="1" t="n"/>
      <c r="L36" s="1" t="n"/>
      <c r="M36" s="1" t="n"/>
    </row>
    <row r="37" ht="18" customHeight="1">
      <c r="A37" s="1" t="n"/>
      <c r="B37" s="39" t="n"/>
      <c r="C37" s="39" t="n"/>
      <c r="D37" s="39" t="n"/>
      <c r="E37" s="49">
        <f>IF(D37&lt;&gt;"",TODAY()-D37,"")</f>
        <v/>
      </c>
      <c r="F37" s="39">
        <f>IF(E37="","",IF(E37&gt;90,"🔴 ENTRAR EM CONTATO",IF(E37&gt;60,"🟡 VERIFICAR EM BREVE","🟢 OK")))</f>
        <v/>
      </c>
      <c r="G37" s="39">
        <f>IF(E37&gt;90,"Enviar mensagem no WhatsApp com oferta especial",IF(E37&gt;60,"Perguntar sobre nova ideia de tattoo","Aguardar"))</f>
        <v/>
      </c>
      <c r="H37" s="39" t="n"/>
      <c r="I37" s="1" t="n"/>
      <c r="J37" s="1" t="n"/>
      <c r="K37" s="1" t="n"/>
      <c r="L37" s="1" t="n"/>
      <c r="M37" s="1" t="n"/>
    </row>
    <row r="38" ht="18" customHeight="1">
      <c r="A38" s="1" t="n"/>
      <c r="B38" s="33" t="n"/>
      <c r="C38" s="33" t="n"/>
      <c r="D38" s="33" t="n"/>
      <c r="E38" s="50">
        <f>IF(D38&lt;&gt;"",TODAY()-D38,"")</f>
        <v/>
      </c>
      <c r="F38" s="33">
        <f>IF(E38="","",IF(E38&gt;90,"🔴 ENTRAR EM CONTATO",IF(E38&gt;60,"🟡 VERIFICAR EM BREVE","🟢 OK")))</f>
        <v/>
      </c>
      <c r="G38" s="33">
        <f>IF(E38&gt;90,"Enviar mensagem no WhatsApp com oferta especial",IF(E38&gt;60,"Perguntar sobre nova ideia de tattoo","Aguardar"))</f>
        <v/>
      </c>
      <c r="H38" s="33" t="n"/>
      <c r="I38" s="1" t="n"/>
      <c r="J38" s="1" t="n"/>
      <c r="K38" s="1" t="n"/>
      <c r="L38" s="1" t="n"/>
      <c r="M38" s="1" t="n"/>
    </row>
    <row r="39" ht="18" customHeight="1">
      <c r="A39" s="1" t="n"/>
      <c r="B39" s="39" t="n"/>
      <c r="C39" s="39" t="n"/>
      <c r="D39" s="39" t="n"/>
      <c r="E39" s="49">
        <f>IF(D39&lt;&gt;"",TODAY()-D39,"")</f>
        <v/>
      </c>
      <c r="F39" s="39">
        <f>IF(E39="","",IF(E39&gt;90,"🔴 ENTRAR EM CONTATO",IF(E39&gt;60,"🟡 VERIFICAR EM BREVE","🟢 OK")))</f>
        <v/>
      </c>
      <c r="G39" s="39">
        <f>IF(E39&gt;90,"Enviar mensagem no WhatsApp com oferta especial",IF(E39&gt;60,"Perguntar sobre nova ideia de tattoo","Aguardar"))</f>
        <v/>
      </c>
      <c r="H39" s="39" t="n"/>
      <c r="I39" s="1" t="n"/>
      <c r="J39" s="1" t="n"/>
      <c r="K39" s="1" t="n"/>
      <c r="L39" s="1" t="n"/>
      <c r="M39" s="1" t="n"/>
    </row>
    <row r="40" ht="18" customHeight="1">
      <c r="A40" s="1" t="n"/>
      <c r="B40" s="33" t="n"/>
      <c r="C40" s="33" t="n"/>
      <c r="D40" s="33" t="n"/>
      <c r="E40" s="50">
        <f>IF(D40&lt;&gt;"",TODAY()-D40,"")</f>
        <v/>
      </c>
      <c r="F40" s="33">
        <f>IF(E40="","",IF(E40&gt;90,"🔴 ENTRAR EM CONTATO",IF(E40&gt;60,"🟡 VERIFICAR EM BREVE","🟢 OK")))</f>
        <v/>
      </c>
      <c r="G40" s="33">
        <f>IF(E40&gt;90,"Enviar mensagem no WhatsApp com oferta especial",IF(E40&gt;60,"Perguntar sobre nova ideia de tattoo","Aguardar"))</f>
        <v/>
      </c>
      <c r="H40" s="33" t="n"/>
      <c r="I40" s="1" t="n"/>
      <c r="J40" s="1" t="n"/>
      <c r="K40" s="1" t="n"/>
      <c r="L40" s="1" t="n"/>
      <c r="M40" s="1" t="n"/>
    </row>
    <row r="41" ht="18" customHeight="1">
      <c r="A41" s="1" t="n"/>
      <c r="B41" s="39" t="n"/>
      <c r="C41" s="39" t="n"/>
      <c r="D41" s="39" t="n"/>
      <c r="E41" s="49">
        <f>IF(D41&lt;&gt;"",TODAY()-D41,"")</f>
        <v/>
      </c>
      <c r="F41" s="39">
        <f>IF(E41="","",IF(E41&gt;90,"🔴 ENTRAR EM CONTATO",IF(E41&gt;60,"🟡 VERIFICAR EM BREVE","🟢 OK")))</f>
        <v/>
      </c>
      <c r="G41" s="39">
        <f>IF(E41&gt;90,"Enviar mensagem no WhatsApp com oferta especial",IF(E41&gt;60,"Perguntar sobre nova ideia de tattoo","Aguardar"))</f>
        <v/>
      </c>
      <c r="H41" s="39" t="n"/>
      <c r="I41" s="1" t="n"/>
      <c r="J41" s="1" t="n"/>
      <c r="K41" s="1" t="n"/>
      <c r="L41" s="1" t="n"/>
      <c r="M41" s="1" t="n"/>
    </row>
    <row r="42" ht="18" customHeight="1">
      <c r="A42" s="1" t="n"/>
      <c r="B42" s="33" t="n"/>
      <c r="C42" s="33" t="n"/>
      <c r="D42" s="33" t="n"/>
      <c r="E42" s="50">
        <f>IF(D42&lt;&gt;"",TODAY()-D42,"")</f>
        <v/>
      </c>
      <c r="F42" s="33">
        <f>IF(E42="","",IF(E42&gt;90,"🔴 ENTRAR EM CONTATO",IF(E42&gt;60,"🟡 VERIFICAR EM BREVE","🟢 OK")))</f>
        <v/>
      </c>
      <c r="G42" s="33">
        <f>IF(E42&gt;90,"Enviar mensagem no WhatsApp com oferta especial",IF(E42&gt;60,"Perguntar sobre nova ideia de tattoo","Aguardar"))</f>
        <v/>
      </c>
      <c r="H42" s="33" t="n"/>
      <c r="I42" s="1" t="n"/>
      <c r="J42" s="1" t="n"/>
      <c r="K42" s="1" t="n"/>
      <c r="L42" s="1" t="n"/>
      <c r="M42" s="1" t="n"/>
    </row>
    <row r="43" ht="18" customHeight="1">
      <c r="A43" s="1" t="n"/>
      <c r="B43" s="39" t="n"/>
      <c r="C43" s="39" t="n"/>
      <c r="D43" s="39" t="n"/>
      <c r="E43" s="49">
        <f>IF(D43&lt;&gt;"",TODAY()-D43,"")</f>
        <v/>
      </c>
      <c r="F43" s="39">
        <f>IF(E43="","",IF(E43&gt;90,"🔴 ENTRAR EM CONTATO",IF(E43&gt;60,"🟡 VERIFICAR EM BREVE","🟢 OK")))</f>
        <v/>
      </c>
      <c r="G43" s="39">
        <f>IF(E43&gt;90,"Enviar mensagem no WhatsApp com oferta especial",IF(E43&gt;60,"Perguntar sobre nova ideia de tattoo","Aguardar"))</f>
        <v/>
      </c>
      <c r="H43" s="39" t="n"/>
      <c r="I43" s="1" t="n"/>
      <c r="J43" s="1" t="n"/>
      <c r="K43" s="1" t="n"/>
      <c r="L43" s="1" t="n"/>
      <c r="M43" s="1" t="n"/>
    </row>
    <row r="44" ht="18" customHeight="1">
      <c r="A44" s="1" t="n"/>
      <c r="B44" s="33" t="n"/>
      <c r="C44" s="33" t="n"/>
      <c r="D44" s="33" t="n"/>
      <c r="E44" s="50">
        <f>IF(D44&lt;&gt;"",TODAY()-D44,"")</f>
        <v/>
      </c>
      <c r="F44" s="33">
        <f>IF(E44="","",IF(E44&gt;90,"🔴 ENTRAR EM CONTATO",IF(E44&gt;60,"🟡 VERIFICAR EM BREVE","🟢 OK")))</f>
        <v/>
      </c>
      <c r="G44" s="33">
        <f>IF(E44&gt;90,"Enviar mensagem no WhatsApp com oferta especial",IF(E44&gt;60,"Perguntar sobre nova ideia de tattoo","Aguardar"))</f>
        <v/>
      </c>
      <c r="H44" s="33" t="n"/>
      <c r="I44" s="1" t="n"/>
      <c r="J44" s="1" t="n"/>
      <c r="K44" s="1" t="n"/>
      <c r="L44" s="1" t="n"/>
      <c r="M44" s="1" t="n"/>
    </row>
    <row r="45" ht="18" customHeight="1">
      <c r="A45" s="1" t="n"/>
      <c r="B45" s="39" t="n"/>
      <c r="C45" s="39" t="n"/>
      <c r="D45" s="39" t="n"/>
      <c r="E45" s="49">
        <f>IF(D45&lt;&gt;"",TODAY()-D45,"")</f>
        <v/>
      </c>
      <c r="F45" s="39">
        <f>IF(E45="","",IF(E45&gt;90,"🔴 ENTRAR EM CONTATO",IF(E45&gt;60,"🟡 VERIFICAR EM BREVE","🟢 OK")))</f>
        <v/>
      </c>
      <c r="G45" s="39">
        <f>IF(E45&gt;90,"Enviar mensagem no WhatsApp com oferta especial",IF(E45&gt;60,"Perguntar sobre nova ideia de tattoo","Aguardar"))</f>
        <v/>
      </c>
      <c r="H45" s="39" t="n"/>
      <c r="I45" s="1" t="n"/>
      <c r="J45" s="1" t="n"/>
      <c r="K45" s="1" t="n"/>
      <c r="L45" s="1" t="n"/>
      <c r="M45" s="1" t="n"/>
    </row>
    <row r="46" ht="18" customHeight="1">
      <c r="A46" s="1" t="n"/>
      <c r="B46" s="33" t="n"/>
      <c r="C46" s="33" t="n"/>
      <c r="D46" s="33" t="n"/>
      <c r="E46" s="50">
        <f>IF(D46&lt;&gt;"",TODAY()-D46,"")</f>
        <v/>
      </c>
      <c r="F46" s="33">
        <f>IF(E46="","",IF(E46&gt;90,"🔴 ENTRAR EM CONTATO",IF(E46&gt;60,"🟡 VERIFICAR EM BREVE","🟢 OK")))</f>
        <v/>
      </c>
      <c r="G46" s="33">
        <f>IF(E46&gt;90,"Enviar mensagem no WhatsApp com oferta especial",IF(E46&gt;60,"Perguntar sobre nova ideia de tattoo","Aguardar"))</f>
        <v/>
      </c>
      <c r="H46" s="33" t="n"/>
      <c r="I46" s="1" t="n"/>
      <c r="J46" s="1" t="n"/>
      <c r="K46" s="1" t="n"/>
      <c r="L46" s="1" t="n"/>
      <c r="M46" s="1" t="n"/>
    </row>
    <row r="47" ht="18" customHeight="1">
      <c r="A47" s="1" t="n"/>
      <c r="B47" s="39" t="n"/>
      <c r="C47" s="39" t="n"/>
      <c r="D47" s="39" t="n"/>
      <c r="E47" s="49">
        <f>IF(D47&lt;&gt;"",TODAY()-D47,"")</f>
        <v/>
      </c>
      <c r="F47" s="39">
        <f>IF(E47="","",IF(E47&gt;90,"🔴 ENTRAR EM CONTATO",IF(E47&gt;60,"🟡 VERIFICAR EM BREVE","🟢 OK")))</f>
        <v/>
      </c>
      <c r="G47" s="39">
        <f>IF(E47&gt;90,"Enviar mensagem no WhatsApp com oferta especial",IF(E47&gt;60,"Perguntar sobre nova ideia de tattoo","Aguardar"))</f>
        <v/>
      </c>
      <c r="H47" s="39" t="n"/>
      <c r="I47" s="1" t="n"/>
      <c r="J47" s="1" t="n"/>
      <c r="K47" s="1" t="n"/>
      <c r="L47" s="1" t="n"/>
      <c r="M47" s="1" t="n"/>
    </row>
    <row r="48" ht="18" customHeight="1">
      <c r="A48" s="1" t="n"/>
      <c r="B48" s="33" t="n"/>
      <c r="C48" s="33" t="n"/>
      <c r="D48" s="33" t="n"/>
      <c r="E48" s="50">
        <f>IF(D48&lt;&gt;"",TODAY()-D48,"")</f>
        <v/>
      </c>
      <c r="F48" s="33">
        <f>IF(E48="","",IF(E48&gt;90,"🔴 ENTRAR EM CONTATO",IF(E48&gt;60,"🟡 VERIFICAR EM BREVE","🟢 OK")))</f>
        <v/>
      </c>
      <c r="G48" s="33">
        <f>IF(E48&gt;90,"Enviar mensagem no WhatsApp com oferta especial",IF(E48&gt;60,"Perguntar sobre nova ideia de tattoo","Aguardar"))</f>
        <v/>
      </c>
      <c r="H48" s="33" t="n"/>
      <c r="I48" s="1" t="n"/>
      <c r="J48" s="1" t="n"/>
      <c r="K48" s="1" t="n"/>
      <c r="L48" s="1" t="n"/>
      <c r="M48" s="1" t="n"/>
    </row>
    <row r="49" ht="18" customHeight="1">
      <c r="A49" s="1" t="n"/>
      <c r="B49" s="39" t="n"/>
      <c r="C49" s="39" t="n"/>
      <c r="D49" s="39" t="n"/>
      <c r="E49" s="49">
        <f>IF(D49&lt;&gt;"",TODAY()-D49,"")</f>
        <v/>
      </c>
      <c r="F49" s="39">
        <f>IF(E49="","",IF(E49&gt;90,"🔴 ENTRAR EM CONTATO",IF(E49&gt;60,"🟡 VERIFICAR EM BREVE","🟢 OK")))</f>
        <v/>
      </c>
      <c r="G49" s="39">
        <f>IF(E49&gt;90,"Enviar mensagem no WhatsApp com oferta especial",IF(E49&gt;60,"Perguntar sobre nova ideia de tattoo","Aguardar"))</f>
        <v/>
      </c>
      <c r="H49" s="39" t="n"/>
      <c r="I49" s="1" t="n"/>
      <c r="J49" s="1" t="n"/>
      <c r="K49" s="1" t="n"/>
      <c r="L49" s="1" t="n"/>
      <c r="M49" s="1" t="n"/>
    </row>
    <row r="50" ht="18" customHeight="1">
      <c r="A50" s="1" t="n"/>
      <c r="B50" s="33" t="n"/>
      <c r="C50" s="33" t="n"/>
      <c r="D50" s="33" t="n"/>
      <c r="E50" s="50">
        <f>IF(D50&lt;&gt;"",TODAY()-D50,"")</f>
        <v/>
      </c>
      <c r="F50" s="33">
        <f>IF(E50="","",IF(E50&gt;90,"🔴 ENTRAR EM CONTATO",IF(E50&gt;60,"🟡 VERIFICAR EM BREVE","🟢 OK")))</f>
        <v/>
      </c>
      <c r="G50" s="33">
        <f>IF(E50&gt;90,"Enviar mensagem no WhatsApp com oferta especial",IF(E50&gt;60,"Perguntar sobre nova ideia de tattoo","Aguardar"))</f>
        <v/>
      </c>
      <c r="H50" s="33" t="n"/>
      <c r="I50" s="1" t="n"/>
      <c r="J50" s="1" t="n"/>
      <c r="K50" s="1" t="n"/>
      <c r="L50" s="1" t="n"/>
      <c r="M50" s="1" t="n"/>
    </row>
    <row r="51" ht="18" customHeight="1">
      <c r="A51" s="1" t="n"/>
      <c r="B51" s="39" t="n"/>
      <c r="C51" s="39" t="n"/>
      <c r="D51" s="39" t="n"/>
      <c r="E51" s="49">
        <f>IF(D51&lt;&gt;"",TODAY()-D51,"")</f>
        <v/>
      </c>
      <c r="F51" s="39">
        <f>IF(E51="","",IF(E51&gt;90,"🔴 ENTRAR EM CONTATO",IF(E51&gt;60,"🟡 VERIFICAR EM BREVE","🟢 OK")))</f>
        <v/>
      </c>
      <c r="G51" s="39">
        <f>IF(E51&gt;90,"Enviar mensagem no WhatsApp com oferta especial",IF(E51&gt;60,"Perguntar sobre nova ideia de tattoo","Aguardar"))</f>
        <v/>
      </c>
      <c r="H51" s="39" t="n"/>
      <c r="I51" s="1" t="n"/>
      <c r="J51" s="1" t="n"/>
      <c r="K51" s="1" t="n"/>
      <c r="L51" s="1" t="n"/>
      <c r="M51" s="1" t="n"/>
    </row>
    <row r="52" ht="18" customHeight="1">
      <c r="A52" s="1" t="n"/>
      <c r="B52" s="33" t="n"/>
      <c r="C52" s="33" t="n"/>
      <c r="D52" s="33" t="n"/>
      <c r="E52" s="50">
        <f>IF(D52&lt;&gt;"",TODAY()-D52,"")</f>
        <v/>
      </c>
      <c r="F52" s="33">
        <f>IF(E52="","",IF(E52&gt;90,"🔴 ENTRAR EM CONTATO",IF(E52&gt;60,"🟡 VERIFICAR EM BREVE","🟢 OK")))</f>
        <v/>
      </c>
      <c r="G52" s="33">
        <f>IF(E52&gt;90,"Enviar mensagem no WhatsApp com oferta especial",IF(E52&gt;60,"Perguntar sobre nova ideia de tattoo","Aguardar"))</f>
        <v/>
      </c>
      <c r="H52" s="33" t="n"/>
      <c r="I52" s="1" t="n"/>
      <c r="J52" s="1" t="n"/>
      <c r="K52" s="1" t="n"/>
      <c r="L52" s="1" t="n"/>
      <c r="M52" s="1" t="n"/>
    </row>
    <row r="53" ht="18" customHeight="1">
      <c r="A53" s="1" t="n"/>
      <c r="B53" s="39" t="n"/>
      <c r="C53" s="39" t="n"/>
      <c r="D53" s="39" t="n"/>
      <c r="E53" s="49">
        <f>IF(D53&lt;&gt;"",TODAY()-D53,"")</f>
        <v/>
      </c>
      <c r="F53" s="39">
        <f>IF(E53="","",IF(E53&gt;90,"🔴 ENTRAR EM CONTATO",IF(E53&gt;60,"🟡 VERIFICAR EM BREVE","🟢 OK")))</f>
        <v/>
      </c>
      <c r="G53" s="39">
        <f>IF(E53&gt;90,"Enviar mensagem no WhatsApp com oferta especial",IF(E53&gt;60,"Perguntar sobre nova ideia de tattoo","Aguardar"))</f>
        <v/>
      </c>
      <c r="H53" s="39" t="n"/>
      <c r="I53" s="1" t="n"/>
      <c r="J53" s="1" t="n"/>
      <c r="K53" s="1" t="n"/>
      <c r="L53" s="1" t="n"/>
      <c r="M53" s="1" t="n"/>
    </row>
    <row r="54" ht="18" customHeight="1">
      <c r="A54" s="1" t="n"/>
      <c r="B54" s="33" t="n"/>
      <c r="C54" s="33" t="n"/>
      <c r="D54" s="33" t="n"/>
      <c r="E54" s="50">
        <f>IF(D54&lt;&gt;"",TODAY()-D54,"")</f>
        <v/>
      </c>
      <c r="F54" s="33">
        <f>IF(E54="","",IF(E54&gt;90,"🔴 ENTRAR EM CONTATO",IF(E54&gt;60,"🟡 VERIFICAR EM BREVE","🟢 OK")))</f>
        <v/>
      </c>
      <c r="G54" s="33">
        <f>IF(E54&gt;90,"Enviar mensagem no WhatsApp com oferta especial",IF(E54&gt;60,"Perguntar sobre nova ideia de tattoo","Aguardar"))</f>
        <v/>
      </c>
      <c r="H54" s="33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</sheetData>
  <mergeCells count="1">
    <mergeCell ref="B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S1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8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5" customHeight="1">
      <c r="A2" s="1" t="n"/>
      <c r="B2" s="37" t="inlineStr">
        <is>
          <t>💰  FINANCEIRO PRO — CENTRAL TATTOO</t>
        </is>
      </c>
      <c r="S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26" customHeight="1">
      <c r="A5" s="1" t="n"/>
      <c r="B5" s="51" t="inlineStr">
        <is>
          <t>FATURAMENTO BRUTO</t>
        </is>
      </c>
      <c r="H5" s="52">
        <f>SUMIF(C10:C200,"Receita",D10:D200)</f>
        <v/>
      </c>
      <c r="M5" s="1" t="n"/>
      <c r="N5" s="1" t="n"/>
      <c r="O5" s="1" t="n"/>
      <c r="P5" s="1" t="n"/>
      <c r="Q5" s="1" t="n"/>
      <c r="R5" s="1" t="n"/>
      <c r="S5" s="1" t="n"/>
    </row>
    <row r="6" ht="26" customHeight="1">
      <c r="A6" s="1" t="n"/>
      <c r="B6" s="51" t="inlineStr">
        <is>
          <t>(-) DESPESAS TOTAIS</t>
        </is>
      </c>
      <c r="H6" s="53">
        <f>SUMIF(C10:C200,"Despesa",D10:D200)</f>
        <v/>
      </c>
      <c r="M6" s="1" t="n"/>
      <c r="N6" s="1" t="n"/>
      <c r="O6" s="1" t="n"/>
      <c r="P6" s="1" t="n"/>
      <c r="Q6" s="1" t="n"/>
      <c r="R6" s="1" t="n"/>
      <c r="S6" s="1" t="n"/>
    </row>
    <row r="7" ht="26" customHeight="1">
      <c r="A7" s="1" t="n"/>
      <c r="B7" s="51" t="inlineStr">
        <is>
          <t>(=) LUCRO LÍQUIDO</t>
        </is>
      </c>
      <c r="H7" s="54">
        <f>B5-B6</f>
        <v/>
      </c>
      <c r="M7" s="1" t="n"/>
      <c r="N7" s="1" t="n"/>
      <c r="O7" s="1" t="n"/>
      <c r="P7" s="1" t="n"/>
      <c r="Q7" s="1" t="n"/>
      <c r="R7" s="1" t="n"/>
      <c r="S7" s="1" t="n"/>
    </row>
    <row r="8" ht="26" customHeight="1">
      <c r="A8" s="1" t="n"/>
      <c r="B8" s="51" t="inlineStr">
        <is>
          <t>MARGEM DE LUCRO</t>
        </is>
      </c>
      <c r="H8" s="55">
        <f>IFERROR(B7/B5,0)</f>
        <v/>
      </c>
      <c r="M8" s="1" t="n"/>
      <c r="N8" s="1" t="n"/>
      <c r="O8" s="1" t="n"/>
      <c r="P8" s="1" t="n"/>
      <c r="Q8" s="1" t="n"/>
      <c r="R8" s="1" t="n"/>
      <c r="S8" s="1" t="n"/>
    </row>
    <row r="9" ht="26" customHeight="1">
      <c r="A9" s="1" t="n"/>
      <c r="B9" s="51" t="inlineStr">
        <is>
          <t>CUSTO POR SESSÃO</t>
        </is>
      </c>
      <c r="H9" s="56">
        <f>IFERROR(B6/COUNTA(Agenda!B5:B104),0)</f>
        <v/>
      </c>
      <c r="M9" s="1" t="n"/>
      <c r="N9" s="1" t="n"/>
      <c r="O9" s="1" t="n"/>
      <c r="P9" s="1" t="n"/>
      <c r="Q9" s="1" t="n"/>
      <c r="R9" s="1" t="n"/>
      <c r="S9" s="1" t="n"/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0" customHeight="1">
      <c r="A11" s="1" t="n"/>
      <c r="B11" s="31" t="inlineStr">
        <is>
          <t>📋  LANÇAMENTOS FINANCEIROS</t>
        </is>
      </c>
      <c r="R11" s="1" t="n"/>
      <c r="S11" s="1" t="n"/>
    </row>
    <row r="12" ht="22" customHeight="1">
      <c r="A12" s="1" t="n"/>
      <c r="B12" s="38" t="inlineStr">
        <is>
          <t>DATA</t>
        </is>
      </c>
      <c r="C12" s="38" t="inlineStr">
        <is>
          <t>DESCRIÇÃO</t>
        </is>
      </c>
      <c r="D12" s="38" t="inlineStr">
        <is>
          <t>TIPO</t>
        </is>
      </c>
      <c r="E12" s="38" t="inlineStr">
        <is>
          <t>VALOR (R$)</t>
        </is>
      </c>
      <c r="F12" s="38" t="inlineStr">
        <is>
          <t>CATEGORIA</t>
        </is>
      </c>
      <c r="G12" s="38" t="inlineStr">
        <is>
          <t>FORMA PGTO</t>
        </is>
      </c>
      <c r="H12" s="38" t="inlineStr">
        <is>
          <t>REFERÊNCIA</t>
        </is>
      </c>
      <c r="I12" s="38" t="inlineStr">
        <is>
          <t>OBS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8" customHeight="1">
      <c r="A13" s="1" t="n"/>
      <c r="B13" s="39" t="n"/>
      <c r="C13" s="39" t="n"/>
      <c r="D13" s="39" t="n"/>
      <c r="E13" s="40" t="n"/>
      <c r="F13" s="39" t="n"/>
      <c r="G13" s="39" t="n"/>
      <c r="H13" s="39" t="n"/>
      <c r="I13" s="39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8" customHeight="1">
      <c r="A14" s="1" t="n"/>
      <c r="B14" s="33" t="n"/>
      <c r="C14" s="33" t="n"/>
      <c r="D14" s="33" t="n"/>
      <c r="E14" s="42" t="n"/>
      <c r="F14" s="33" t="n"/>
      <c r="G14" s="33" t="n"/>
      <c r="H14" s="33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8" customHeight="1">
      <c r="A15" s="1" t="n"/>
      <c r="B15" s="39" t="n"/>
      <c r="C15" s="39" t="n"/>
      <c r="D15" s="39" t="n"/>
      <c r="E15" s="40" t="n"/>
      <c r="F15" s="39" t="n"/>
      <c r="G15" s="39" t="n"/>
      <c r="H15" s="39" t="n"/>
      <c r="I15" s="3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8" customHeight="1">
      <c r="A16" s="1" t="n"/>
      <c r="B16" s="33" t="n"/>
      <c r="C16" s="33" t="n"/>
      <c r="D16" s="33" t="n"/>
      <c r="E16" s="42" t="n"/>
      <c r="F16" s="33" t="n"/>
      <c r="G16" s="33" t="n"/>
      <c r="H16" s="33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8" customHeight="1">
      <c r="A17" s="1" t="n"/>
      <c r="B17" s="39" t="n"/>
      <c r="C17" s="39" t="n"/>
      <c r="D17" s="39" t="n"/>
      <c r="E17" s="40" t="n"/>
      <c r="F17" s="39" t="n"/>
      <c r="G17" s="39" t="n"/>
      <c r="H17" s="39" t="n"/>
      <c r="I17" s="3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8" customHeight="1">
      <c r="A18" s="1" t="n"/>
      <c r="B18" s="33" t="n"/>
      <c r="C18" s="33" t="n"/>
      <c r="D18" s="33" t="n"/>
      <c r="E18" s="42" t="n"/>
      <c r="F18" s="33" t="n"/>
      <c r="G18" s="33" t="n"/>
      <c r="H18" s="33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8" customHeight="1">
      <c r="A19" s="1" t="n"/>
      <c r="B19" s="39" t="n"/>
      <c r="C19" s="39" t="n"/>
      <c r="D19" s="39" t="n"/>
      <c r="E19" s="40" t="n"/>
      <c r="F19" s="39" t="n"/>
      <c r="G19" s="39" t="n"/>
      <c r="H19" s="39" t="n"/>
      <c r="I19" s="3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8" customHeight="1">
      <c r="A20" s="1" t="n"/>
      <c r="B20" s="33" t="n"/>
      <c r="C20" s="33" t="n"/>
      <c r="D20" s="33" t="n"/>
      <c r="E20" s="42" t="n"/>
      <c r="F20" s="33" t="n"/>
      <c r="G20" s="33" t="n"/>
      <c r="H20" s="33" t="n"/>
      <c r="I20" s="3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8" customHeight="1">
      <c r="A21" s="1" t="n"/>
      <c r="B21" s="39" t="n"/>
      <c r="C21" s="39" t="n"/>
      <c r="D21" s="39" t="n"/>
      <c r="E21" s="40" t="n"/>
      <c r="F21" s="39" t="n"/>
      <c r="G21" s="39" t="n"/>
      <c r="H21" s="39" t="n"/>
      <c r="I21" s="3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8" customHeight="1">
      <c r="A22" s="1" t="n"/>
      <c r="B22" s="33" t="n"/>
      <c r="C22" s="33" t="n"/>
      <c r="D22" s="33" t="n"/>
      <c r="E22" s="42" t="n"/>
      <c r="F22" s="33" t="n"/>
      <c r="G22" s="33" t="n"/>
      <c r="H22" s="33" t="n"/>
      <c r="I22" s="33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8" customHeight="1">
      <c r="A23" s="1" t="n"/>
      <c r="B23" s="39" t="n"/>
      <c r="C23" s="39" t="n"/>
      <c r="D23" s="39" t="n"/>
      <c r="E23" s="40" t="n"/>
      <c r="F23" s="39" t="n"/>
      <c r="G23" s="39" t="n"/>
      <c r="H23" s="39" t="n"/>
      <c r="I23" s="3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8" customHeight="1">
      <c r="A24" s="1" t="n"/>
      <c r="B24" s="33" t="n"/>
      <c r="C24" s="33" t="n"/>
      <c r="D24" s="33" t="n"/>
      <c r="E24" s="42" t="n"/>
      <c r="F24" s="33" t="n"/>
      <c r="G24" s="33" t="n"/>
      <c r="H24" s="33" t="n"/>
      <c r="I24" s="33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8" customHeight="1">
      <c r="A25" s="1" t="n"/>
      <c r="B25" s="39" t="n"/>
      <c r="C25" s="39" t="n"/>
      <c r="D25" s="39" t="n"/>
      <c r="E25" s="40" t="n"/>
      <c r="F25" s="39" t="n"/>
      <c r="G25" s="39" t="n"/>
      <c r="H25" s="39" t="n"/>
      <c r="I25" s="3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8" customHeight="1">
      <c r="A26" s="1" t="n"/>
      <c r="B26" s="33" t="n"/>
      <c r="C26" s="33" t="n"/>
      <c r="D26" s="33" t="n"/>
      <c r="E26" s="42" t="n"/>
      <c r="F26" s="33" t="n"/>
      <c r="G26" s="33" t="n"/>
      <c r="H26" s="33" t="n"/>
      <c r="I26" s="33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8" customHeight="1">
      <c r="A27" s="1" t="n"/>
      <c r="B27" s="39" t="n"/>
      <c r="C27" s="39" t="n"/>
      <c r="D27" s="39" t="n"/>
      <c r="E27" s="40" t="n"/>
      <c r="F27" s="39" t="n"/>
      <c r="G27" s="39" t="n"/>
      <c r="H27" s="39" t="n"/>
      <c r="I27" s="3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8" customHeight="1">
      <c r="A28" s="1" t="n"/>
      <c r="B28" s="33" t="n"/>
      <c r="C28" s="33" t="n"/>
      <c r="D28" s="33" t="n"/>
      <c r="E28" s="42" t="n"/>
      <c r="F28" s="33" t="n"/>
      <c r="G28" s="33" t="n"/>
      <c r="H28" s="33" t="n"/>
      <c r="I28" s="33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8" customHeight="1">
      <c r="A29" s="1" t="n"/>
      <c r="B29" s="39" t="n"/>
      <c r="C29" s="39" t="n"/>
      <c r="D29" s="39" t="n"/>
      <c r="E29" s="40" t="n"/>
      <c r="F29" s="39" t="n"/>
      <c r="G29" s="39" t="n"/>
      <c r="H29" s="39" t="n"/>
      <c r="I29" s="3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8" customHeight="1">
      <c r="A30" s="1" t="n"/>
      <c r="B30" s="33" t="n"/>
      <c r="C30" s="33" t="n"/>
      <c r="D30" s="33" t="n"/>
      <c r="E30" s="42" t="n"/>
      <c r="F30" s="33" t="n"/>
      <c r="G30" s="33" t="n"/>
      <c r="H30" s="33" t="n"/>
      <c r="I30" s="33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8" customHeight="1">
      <c r="A31" s="1" t="n"/>
      <c r="B31" s="39" t="n"/>
      <c r="C31" s="39" t="n"/>
      <c r="D31" s="39" t="n"/>
      <c r="E31" s="40" t="n"/>
      <c r="F31" s="39" t="n"/>
      <c r="G31" s="39" t="n"/>
      <c r="H31" s="39" t="n"/>
      <c r="I31" s="3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8" customHeight="1">
      <c r="A32" s="1" t="n"/>
      <c r="B32" s="33" t="n"/>
      <c r="C32" s="33" t="n"/>
      <c r="D32" s="33" t="n"/>
      <c r="E32" s="42" t="n"/>
      <c r="F32" s="33" t="n"/>
      <c r="G32" s="33" t="n"/>
      <c r="H32" s="33" t="n"/>
      <c r="I32" s="33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8" customHeight="1">
      <c r="A33" s="1" t="n"/>
      <c r="B33" s="39" t="n"/>
      <c r="C33" s="39" t="n"/>
      <c r="D33" s="39" t="n"/>
      <c r="E33" s="40" t="n"/>
      <c r="F33" s="39" t="n"/>
      <c r="G33" s="39" t="n"/>
      <c r="H33" s="39" t="n"/>
      <c r="I33" s="3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8" customHeight="1">
      <c r="A34" s="1" t="n"/>
      <c r="B34" s="33" t="n"/>
      <c r="C34" s="33" t="n"/>
      <c r="D34" s="33" t="n"/>
      <c r="E34" s="42" t="n"/>
      <c r="F34" s="33" t="n"/>
      <c r="G34" s="33" t="n"/>
      <c r="H34" s="33" t="n"/>
      <c r="I34" s="33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8" customHeight="1">
      <c r="A35" s="1" t="n"/>
      <c r="B35" s="39" t="n"/>
      <c r="C35" s="39" t="n"/>
      <c r="D35" s="39" t="n"/>
      <c r="E35" s="40" t="n"/>
      <c r="F35" s="39" t="n"/>
      <c r="G35" s="39" t="n"/>
      <c r="H35" s="39" t="n"/>
      <c r="I35" s="3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33" t="n"/>
      <c r="C36" s="33" t="n"/>
      <c r="D36" s="33" t="n"/>
      <c r="E36" s="42" t="n"/>
      <c r="F36" s="33" t="n"/>
      <c r="G36" s="33" t="n"/>
      <c r="H36" s="33" t="n"/>
      <c r="I36" s="33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8" customHeight="1">
      <c r="A37" s="1" t="n"/>
      <c r="B37" s="39" t="n"/>
      <c r="C37" s="39" t="n"/>
      <c r="D37" s="39" t="n"/>
      <c r="E37" s="40" t="n"/>
      <c r="F37" s="39" t="n"/>
      <c r="G37" s="39" t="n"/>
      <c r="H37" s="39" t="n"/>
      <c r="I37" s="3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8" customHeight="1">
      <c r="A38" s="1" t="n"/>
      <c r="B38" s="33" t="n"/>
      <c r="C38" s="33" t="n"/>
      <c r="D38" s="33" t="n"/>
      <c r="E38" s="42" t="n"/>
      <c r="F38" s="33" t="n"/>
      <c r="G38" s="33" t="n"/>
      <c r="H38" s="33" t="n"/>
      <c r="I38" s="33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8" customHeight="1">
      <c r="A39" s="1" t="n"/>
      <c r="B39" s="39" t="n"/>
      <c r="C39" s="39" t="n"/>
      <c r="D39" s="39" t="n"/>
      <c r="E39" s="40" t="n"/>
      <c r="F39" s="39" t="n"/>
      <c r="G39" s="39" t="n"/>
      <c r="H39" s="39" t="n"/>
      <c r="I39" s="3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8" customHeight="1">
      <c r="A40" s="1" t="n"/>
      <c r="B40" s="33" t="n"/>
      <c r="C40" s="33" t="n"/>
      <c r="D40" s="33" t="n"/>
      <c r="E40" s="42" t="n"/>
      <c r="F40" s="33" t="n"/>
      <c r="G40" s="33" t="n"/>
      <c r="H40" s="33" t="n"/>
      <c r="I40" s="33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8" customHeight="1">
      <c r="A41" s="1" t="n"/>
      <c r="B41" s="39" t="n"/>
      <c r="C41" s="39" t="n"/>
      <c r="D41" s="39" t="n"/>
      <c r="E41" s="40" t="n"/>
      <c r="F41" s="39" t="n"/>
      <c r="G41" s="39" t="n"/>
      <c r="H41" s="39" t="n"/>
      <c r="I41" s="3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8" customHeight="1">
      <c r="A42" s="1" t="n"/>
      <c r="B42" s="33" t="n"/>
      <c r="C42" s="33" t="n"/>
      <c r="D42" s="33" t="n"/>
      <c r="E42" s="42" t="n"/>
      <c r="F42" s="33" t="n"/>
      <c r="G42" s="33" t="n"/>
      <c r="H42" s="33" t="n"/>
      <c r="I42" s="33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8" customHeight="1">
      <c r="A43" s="1" t="n"/>
      <c r="B43" s="39" t="n"/>
      <c r="C43" s="39" t="n"/>
      <c r="D43" s="39" t="n"/>
      <c r="E43" s="40" t="n"/>
      <c r="F43" s="39" t="n"/>
      <c r="G43" s="39" t="n"/>
      <c r="H43" s="39" t="n"/>
      <c r="I43" s="3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8" customHeight="1">
      <c r="A44" s="1" t="n"/>
      <c r="B44" s="33" t="n"/>
      <c r="C44" s="33" t="n"/>
      <c r="D44" s="33" t="n"/>
      <c r="E44" s="42" t="n"/>
      <c r="F44" s="33" t="n"/>
      <c r="G44" s="33" t="n"/>
      <c r="H44" s="33" t="n"/>
      <c r="I44" s="33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8" customHeight="1">
      <c r="A45" s="1" t="n"/>
      <c r="B45" s="39" t="n"/>
      <c r="C45" s="39" t="n"/>
      <c r="D45" s="39" t="n"/>
      <c r="E45" s="40" t="n"/>
      <c r="F45" s="39" t="n"/>
      <c r="G45" s="39" t="n"/>
      <c r="H45" s="39" t="n"/>
      <c r="I45" s="3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8" customHeight="1">
      <c r="A46" s="1" t="n"/>
      <c r="B46" s="33" t="n"/>
      <c r="C46" s="33" t="n"/>
      <c r="D46" s="33" t="n"/>
      <c r="E46" s="42" t="n"/>
      <c r="F46" s="33" t="n"/>
      <c r="G46" s="33" t="n"/>
      <c r="H46" s="33" t="n"/>
      <c r="I46" s="3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8" customHeight="1">
      <c r="A47" s="1" t="n"/>
      <c r="B47" s="39" t="n"/>
      <c r="C47" s="39" t="n"/>
      <c r="D47" s="39" t="n"/>
      <c r="E47" s="40" t="n"/>
      <c r="F47" s="39" t="n"/>
      <c r="G47" s="39" t="n"/>
      <c r="H47" s="39" t="n"/>
      <c r="I47" s="3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8" customHeight="1">
      <c r="A48" s="1" t="n"/>
      <c r="B48" s="33" t="n"/>
      <c r="C48" s="33" t="n"/>
      <c r="D48" s="33" t="n"/>
      <c r="E48" s="42" t="n"/>
      <c r="F48" s="33" t="n"/>
      <c r="G48" s="33" t="n"/>
      <c r="H48" s="33" t="n"/>
      <c r="I48" s="3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8" customHeight="1">
      <c r="A49" s="1" t="n"/>
      <c r="B49" s="39" t="n"/>
      <c r="C49" s="39" t="n"/>
      <c r="D49" s="39" t="n"/>
      <c r="E49" s="40" t="n"/>
      <c r="F49" s="39" t="n"/>
      <c r="G49" s="39" t="n"/>
      <c r="H49" s="39" t="n"/>
      <c r="I49" s="3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8" customHeight="1">
      <c r="A50" s="1" t="n"/>
      <c r="B50" s="33" t="n"/>
      <c r="C50" s="33" t="n"/>
      <c r="D50" s="33" t="n"/>
      <c r="E50" s="42" t="n"/>
      <c r="F50" s="33" t="n"/>
      <c r="G50" s="33" t="n"/>
      <c r="H50" s="33" t="n"/>
      <c r="I50" s="3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8" customHeight="1">
      <c r="A51" s="1" t="n"/>
      <c r="B51" s="39" t="n"/>
      <c r="C51" s="39" t="n"/>
      <c r="D51" s="39" t="n"/>
      <c r="E51" s="40" t="n"/>
      <c r="F51" s="39" t="n"/>
      <c r="G51" s="39" t="n"/>
      <c r="H51" s="39" t="n"/>
      <c r="I51" s="3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8" customHeight="1">
      <c r="A52" s="1" t="n"/>
      <c r="B52" s="33" t="n"/>
      <c r="C52" s="33" t="n"/>
      <c r="D52" s="33" t="n"/>
      <c r="E52" s="42" t="n"/>
      <c r="F52" s="33" t="n"/>
      <c r="G52" s="33" t="n"/>
      <c r="H52" s="33" t="n"/>
      <c r="I52" s="3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8" customHeight="1">
      <c r="A53" s="1" t="n"/>
      <c r="B53" s="39" t="n"/>
      <c r="C53" s="39" t="n"/>
      <c r="D53" s="39" t="n"/>
      <c r="E53" s="40" t="n"/>
      <c r="F53" s="39" t="n"/>
      <c r="G53" s="39" t="n"/>
      <c r="H53" s="39" t="n"/>
      <c r="I53" s="3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8" customHeight="1">
      <c r="A54" s="1" t="n"/>
      <c r="B54" s="33" t="n"/>
      <c r="C54" s="33" t="n"/>
      <c r="D54" s="33" t="n"/>
      <c r="E54" s="42" t="n"/>
      <c r="F54" s="33" t="n"/>
      <c r="G54" s="33" t="n"/>
      <c r="H54" s="33" t="n"/>
      <c r="I54" s="3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8" customHeight="1">
      <c r="A55" s="1" t="n"/>
      <c r="B55" s="39" t="n"/>
      <c r="C55" s="39" t="n"/>
      <c r="D55" s="39" t="n"/>
      <c r="E55" s="40" t="n"/>
      <c r="F55" s="39" t="n"/>
      <c r="G55" s="39" t="n"/>
      <c r="H55" s="39" t="n"/>
      <c r="I55" s="3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8" customHeight="1">
      <c r="A56" s="1" t="n"/>
      <c r="B56" s="33" t="n"/>
      <c r="C56" s="33" t="n"/>
      <c r="D56" s="33" t="n"/>
      <c r="E56" s="42" t="n"/>
      <c r="F56" s="33" t="n"/>
      <c r="G56" s="33" t="n"/>
      <c r="H56" s="33" t="n"/>
      <c r="I56" s="3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8" customHeight="1">
      <c r="A57" s="1" t="n"/>
      <c r="B57" s="39" t="n"/>
      <c r="C57" s="39" t="n"/>
      <c r="D57" s="39" t="n"/>
      <c r="E57" s="40" t="n"/>
      <c r="F57" s="39" t="n"/>
      <c r="G57" s="39" t="n"/>
      <c r="H57" s="39" t="n"/>
      <c r="I57" s="3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8" customHeight="1">
      <c r="A58" s="1" t="n"/>
      <c r="B58" s="33" t="n"/>
      <c r="C58" s="33" t="n"/>
      <c r="D58" s="33" t="n"/>
      <c r="E58" s="42" t="n"/>
      <c r="F58" s="33" t="n"/>
      <c r="G58" s="33" t="n"/>
      <c r="H58" s="33" t="n"/>
      <c r="I58" s="3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8" customHeight="1">
      <c r="A59" s="1" t="n"/>
      <c r="B59" s="39" t="n"/>
      <c r="C59" s="39" t="n"/>
      <c r="D59" s="39" t="n"/>
      <c r="E59" s="40" t="n"/>
      <c r="F59" s="39" t="n"/>
      <c r="G59" s="39" t="n"/>
      <c r="H59" s="39" t="n"/>
      <c r="I59" s="3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8" customHeight="1">
      <c r="A60" s="1" t="n"/>
      <c r="B60" s="33" t="n"/>
      <c r="C60" s="33" t="n"/>
      <c r="D60" s="33" t="n"/>
      <c r="E60" s="42" t="n"/>
      <c r="F60" s="33" t="n"/>
      <c r="G60" s="33" t="n"/>
      <c r="H60" s="33" t="n"/>
      <c r="I60" s="3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8" customHeight="1">
      <c r="A61" s="1" t="n"/>
      <c r="B61" s="39" t="n"/>
      <c r="C61" s="39" t="n"/>
      <c r="D61" s="39" t="n"/>
      <c r="E61" s="40" t="n"/>
      <c r="F61" s="39" t="n"/>
      <c r="G61" s="39" t="n"/>
      <c r="H61" s="39" t="n"/>
      <c r="I61" s="3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8" customHeight="1">
      <c r="A62" s="1" t="n"/>
      <c r="B62" s="33" t="n"/>
      <c r="C62" s="33" t="n"/>
      <c r="D62" s="33" t="n"/>
      <c r="E62" s="42" t="n"/>
      <c r="F62" s="33" t="n"/>
      <c r="G62" s="33" t="n"/>
      <c r="H62" s="33" t="n"/>
      <c r="I62" s="3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8" customHeight="1">
      <c r="A63" s="1" t="n"/>
      <c r="B63" s="39" t="n"/>
      <c r="C63" s="39" t="n"/>
      <c r="D63" s="39" t="n"/>
      <c r="E63" s="40" t="n"/>
      <c r="F63" s="39" t="n"/>
      <c r="G63" s="39" t="n"/>
      <c r="H63" s="39" t="n"/>
      <c r="I63" s="3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8" customHeight="1">
      <c r="A64" s="1" t="n"/>
      <c r="B64" s="33" t="n"/>
      <c r="C64" s="33" t="n"/>
      <c r="D64" s="33" t="n"/>
      <c r="E64" s="42" t="n"/>
      <c r="F64" s="33" t="n"/>
      <c r="G64" s="33" t="n"/>
      <c r="H64" s="33" t="n"/>
      <c r="I64" s="3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8" customHeight="1">
      <c r="A65" s="1" t="n"/>
      <c r="B65" s="39" t="n"/>
      <c r="C65" s="39" t="n"/>
      <c r="D65" s="39" t="n"/>
      <c r="E65" s="40" t="n"/>
      <c r="F65" s="39" t="n"/>
      <c r="G65" s="39" t="n"/>
      <c r="H65" s="39" t="n"/>
      <c r="I65" s="3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8" customHeight="1">
      <c r="A66" s="1" t="n"/>
      <c r="B66" s="33" t="n"/>
      <c r="C66" s="33" t="n"/>
      <c r="D66" s="33" t="n"/>
      <c r="E66" s="42" t="n"/>
      <c r="F66" s="33" t="n"/>
      <c r="G66" s="33" t="n"/>
      <c r="H66" s="33" t="n"/>
      <c r="I66" s="3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8" customHeight="1">
      <c r="A67" s="1" t="n"/>
      <c r="B67" s="39" t="n"/>
      <c r="C67" s="39" t="n"/>
      <c r="D67" s="39" t="n"/>
      <c r="E67" s="40" t="n"/>
      <c r="F67" s="39" t="n"/>
      <c r="G67" s="39" t="n"/>
      <c r="H67" s="39" t="n"/>
      <c r="I67" s="3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8" customHeight="1">
      <c r="A68" s="1" t="n"/>
      <c r="B68" s="33" t="n"/>
      <c r="C68" s="33" t="n"/>
      <c r="D68" s="33" t="n"/>
      <c r="E68" s="42" t="n"/>
      <c r="F68" s="33" t="n"/>
      <c r="G68" s="33" t="n"/>
      <c r="H68" s="33" t="n"/>
      <c r="I68" s="3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8" customHeight="1">
      <c r="A69" s="1" t="n"/>
      <c r="B69" s="39" t="n"/>
      <c r="C69" s="39" t="n"/>
      <c r="D69" s="39" t="n"/>
      <c r="E69" s="40" t="n"/>
      <c r="F69" s="39" t="n"/>
      <c r="G69" s="39" t="n"/>
      <c r="H69" s="39" t="n"/>
      <c r="I69" s="3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8" customHeight="1">
      <c r="A70" s="1" t="n"/>
      <c r="B70" s="33" t="n"/>
      <c r="C70" s="33" t="n"/>
      <c r="D70" s="33" t="n"/>
      <c r="E70" s="42" t="n"/>
      <c r="F70" s="33" t="n"/>
      <c r="G70" s="33" t="n"/>
      <c r="H70" s="33" t="n"/>
      <c r="I70" s="3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8" customHeight="1">
      <c r="A71" s="1" t="n"/>
      <c r="B71" s="39" t="n"/>
      <c r="C71" s="39" t="n"/>
      <c r="D71" s="39" t="n"/>
      <c r="E71" s="40" t="n"/>
      <c r="F71" s="39" t="n"/>
      <c r="G71" s="39" t="n"/>
      <c r="H71" s="39" t="n"/>
      <c r="I71" s="3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8" customHeight="1">
      <c r="A72" s="1" t="n"/>
      <c r="B72" s="33" t="n"/>
      <c r="C72" s="33" t="n"/>
      <c r="D72" s="33" t="n"/>
      <c r="E72" s="42" t="n"/>
      <c r="F72" s="33" t="n"/>
      <c r="G72" s="33" t="n"/>
      <c r="H72" s="33" t="n"/>
      <c r="I72" s="3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8" customHeight="1">
      <c r="A73" s="1" t="n"/>
      <c r="B73" s="39" t="n"/>
      <c r="C73" s="39" t="n"/>
      <c r="D73" s="39" t="n"/>
      <c r="E73" s="40" t="n"/>
      <c r="F73" s="39" t="n"/>
      <c r="G73" s="39" t="n"/>
      <c r="H73" s="39" t="n"/>
      <c r="I73" s="3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8" customHeight="1">
      <c r="A74" s="1" t="n"/>
      <c r="B74" s="33" t="n"/>
      <c r="C74" s="33" t="n"/>
      <c r="D74" s="33" t="n"/>
      <c r="E74" s="42" t="n"/>
      <c r="F74" s="33" t="n"/>
      <c r="G74" s="33" t="n"/>
      <c r="H74" s="33" t="n"/>
      <c r="I74" s="3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8" customHeight="1">
      <c r="A75" s="1" t="n"/>
      <c r="B75" s="39" t="n"/>
      <c r="C75" s="39" t="n"/>
      <c r="D75" s="39" t="n"/>
      <c r="E75" s="40" t="n"/>
      <c r="F75" s="39" t="n"/>
      <c r="G75" s="39" t="n"/>
      <c r="H75" s="39" t="n"/>
      <c r="I75" s="3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8" customHeight="1">
      <c r="A76" s="1" t="n"/>
      <c r="B76" s="33" t="n"/>
      <c r="C76" s="33" t="n"/>
      <c r="D76" s="33" t="n"/>
      <c r="E76" s="42" t="n"/>
      <c r="F76" s="33" t="n"/>
      <c r="G76" s="33" t="n"/>
      <c r="H76" s="33" t="n"/>
      <c r="I76" s="3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8" customHeight="1">
      <c r="A77" s="1" t="n"/>
      <c r="B77" s="39" t="n"/>
      <c r="C77" s="39" t="n"/>
      <c r="D77" s="39" t="n"/>
      <c r="E77" s="40" t="n"/>
      <c r="F77" s="39" t="n"/>
      <c r="G77" s="39" t="n"/>
      <c r="H77" s="39" t="n"/>
      <c r="I77" s="3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8" customHeight="1">
      <c r="A78" s="1" t="n"/>
      <c r="B78" s="33" t="n"/>
      <c r="C78" s="33" t="n"/>
      <c r="D78" s="33" t="n"/>
      <c r="E78" s="42" t="n"/>
      <c r="F78" s="33" t="n"/>
      <c r="G78" s="33" t="n"/>
      <c r="H78" s="33" t="n"/>
      <c r="I78" s="3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8" customHeight="1">
      <c r="A79" s="1" t="n"/>
      <c r="B79" s="39" t="n"/>
      <c r="C79" s="39" t="n"/>
      <c r="D79" s="39" t="n"/>
      <c r="E79" s="40" t="n"/>
      <c r="F79" s="39" t="n"/>
      <c r="G79" s="39" t="n"/>
      <c r="H79" s="39" t="n"/>
      <c r="I79" s="3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8" customHeight="1">
      <c r="A80" s="1" t="n"/>
      <c r="B80" s="33" t="n"/>
      <c r="C80" s="33" t="n"/>
      <c r="D80" s="33" t="n"/>
      <c r="E80" s="42" t="n"/>
      <c r="F80" s="33" t="n"/>
      <c r="G80" s="33" t="n"/>
      <c r="H80" s="33" t="n"/>
      <c r="I80" s="3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8" customHeight="1">
      <c r="A81" s="1" t="n"/>
      <c r="B81" s="39" t="n"/>
      <c r="C81" s="39" t="n"/>
      <c r="D81" s="39" t="n"/>
      <c r="E81" s="40" t="n"/>
      <c r="F81" s="39" t="n"/>
      <c r="G81" s="39" t="n"/>
      <c r="H81" s="39" t="n"/>
      <c r="I81" s="3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8" customHeight="1">
      <c r="A82" s="1" t="n"/>
      <c r="B82" s="33" t="n"/>
      <c r="C82" s="33" t="n"/>
      <c r="D82" s="33" t="n"/>
      <c r="E82" s="42" t="n"/>
      <c r="F82" s="33" t="n"/>
      <c r="G82" s="33" t="n"/>
      <c r="H82" s="33" t="n"/>
      <c r="I82" s="3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8" customHeight="1">
      <c r="A83" s="1" t="n"/>
      <c r="B83" s="39" t="n"/>
      <c r="C83" s="39" t="n"/>
      <c r="D83" s="39" t="n"/>
      <c r="E83" s="40" t="n"/>
      <c r="F83" s="39" t="n"/>
      <c r="G83" s="39" t="n"/>
      <c r="H83" s="39" t="n"/>
      <c r="I83" s="3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8" customHeight="1">
      <c r="A84" s="1" t="n"/>
      <c r="B84" s="33" t="n"/>
      <c r="C84" s="33" t="n"/>
      <c r="D84" s="33" t="n"/>
      <c r="E84" s="42" t="n"/>
      <c r="F84" s="33" t="n"/>
      <c r="G84" s="33" t="n"/>
      <c r="H84" s="33" t="n"/>
      <c r="I84" s="3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8" customHeight="1">
      <c r="A85" s="1" t="n"/>
      <c r="B85" s="39" t="n"/>
      <c r="C85" s="39" t="n"/>
      <c r="D85" s="39" t="n"/>
      <c r="E85" s="40" t="n"/>
      <c r="F85" s="39" t="n"/>
      <c r="G85" s="39" t="n"/>
      <c r="H85" s="39" t="n"/>
      <c r="I85" s="3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8" customHeight="1">
      <c r="A86" s="1" t="n"/>
      <c r="B86" s="33" t="n"/>
      <c r="C86" s="33" t="n"/>
      <c r="D86" s="33" t="n"/>
      <c r="E86" s="42" t="n"/>
      <c r="F86" s="33" t="n"/>
      <c r="G86" s="33" t="n"/>
      <c r="H86" s="33" t="n"/>
      <c r="I86" s="3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8" customHeight="1">
      <c r="A87" s="1" t="n"/>
      <c r="B87" s="39" t="n"/>
      <c r="C87" s="39" t="n"/>
      <c r="D87" s="39" t="n"/>
      <c r="E87" s="40" t="n"/>
      <c r="F87" s="39" t="n"/>
      <c r="G87" s="39" t="n"/>
      <c r="H87" s="39" t="n"/>
      <c r="I87" s="3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8" customHeight="1">
      <c r="A88" s="1" t="n"/>
      <c r="B88" s="33" t="n"/>
      <c r="C88" s="33" t="n"/>
      <c r="D88" s="33" t="n"/>
      <c r="E88" s="42" t="n"/>
      <c r="F88" s="33" t="n"/>
      <c r="G88" s="33" t="n"/>
      <c r="H88" s="33" t="n"/>
      <c r="I88" s="3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8" customHeight="1">
      <c r="A89" s="1" t="n"/>
      <c r="B89" s="39" t="n"/>
      <c r="C89" s="39" t="n"/>
      <c r="D89" s="39" t="n"/>
      <c r="E89" s="40" t="n"/>
      <c r="F89" s="39" t="n"/>
      <c r="G89" s="39" t="n"/>
      <c r="H89" s="39" t="n"/>
      <c r="I89" s="3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8" customHeight="1">
      <c r="A90" s="1" t="n"/>
      <c r="B90" s="33" t="n"/>
      <c r="C90" s="33" t="n"/>
      <c r="D90" s="33" t="n"/>
      <c r="E90" s="42" t="n"/>
      <c r="F90" s="33" t="n"/>
      <c r="G90" s="33" t="n"/>
      <c r="H90" s="33" t="n"/>
      <c r="I90" s="3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8" customHeight="1">
      <c r="A91" s="1" t="n"/>
      <c r="B91" s="39" t="n"/>
      <c r="C91" s="39" t="n"/>
      <c r="D91" s="39" t="n"/>
      <c r="E91" s="40" t="n"/>
      <c r="F91" s="39" t="n"/>
      <c r="G91" s="39" t="n"/>
      <c r="H91" s="39" t="n"/>
      <c r="I91" s="3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8" customHeight="1">
      <c r="A92" s="1" t="n"/>
      <c r="B92" s="33" t="n"/>
      <c r="C92" s="33" t="n"/>
      <c r="D92" s="33" t="n"/>
      <c r="E92" s="42" t="n"/>
      <c r="F92" s="33" t="n"/>
      <c r="G92" s="33" t="n"/>
      <c r="H92" s="33" t="n"/>
      <c r="I92" s="3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8" customHeight="1">
      <c r="A93" s="1" t="n"/>
      <c r="B93" s="39" t="n"/>
      <c r="C93" s="39" t="n"/>
      <c r="D93" s="39" t="n"/>
      <c r="E93" s="40" t="n"/>
      <c r="F93" s="39" t="n"/>
      <c r="G93" s="39" t="n"/>
      <c r="H93" s="39" t="n"/>
      <c r="I93" s="3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8" customHeight="1">
      <c r="A94" s="1" t="n"/>
      <c r="B94" s="33" t="n"/>
      <c r="C94" s="33" t="n"/>
      <c r="D94" s="33" t="n"/>
      <c r="E94" s="42" t="n"/>
      <c r="F94" s="33" t="n"/>
      <c r="G94" s="33" t="n"/>
      <c r="H94" s="33" t="n"/>
      <c r="I94" s="3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8" customHeight="1">
      <c r="A95" s="1" t="n"/>
      <c r="B95" s="39" t="n"/>
      <c r="C95" s="39" t="n"/>
      <c r="D95" s="39" t="n"/>
      <c r="E95" s="40" t="n"/>
      <c r="F95" s="39" t="n"/>
      <c r="G95" s="39" t="n"/>
      <c r="H95" s="39" t="n"/>
      <c r="I95" s="3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8" customHeight="1">
      <c r="A96" s="1" t="n"/>
      <c r="B96" s="33" t="n"/>
      <c r="C96" s="33" t="n"/>
      <c r="D96" s="33" t="n"/>
      <c r="E96" s="42" t="n"/>
      <c r="F96" s="33" t="n"/>
      <c r="G96" s="33" t="n"/>
      <c r="H96" s="33" t="n"/>
      <c r="I96" s="3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8" customHeight="1">
      <c r="A97" s="1" t="n"/>
      <c r="B97" s="39" t="n"/>
      <c r="C97" s="39" t="n"/>
      <c r="D97" s="39" t="n"/>
      <c r="E97" s="40" t="n"/>
      <c r="F97" s="39" t="n"/>
      <c r="G97" s="39" t="n"/>
      <c r="H97" s="39" t="n"/>
      <c r="I97" s="3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8" customHeight="1">
      <c r="A98" s="1" t="n"/>
      <c r="B98" s="33" t="n"/>
      <c r="C98" s="33" t="n"/>
      <c r="D98" s="33" t="n"/>
      <c r="E98" s="42" t="n"/>
      <c r="F98" s="33" t="n"/>
      <c r="G98" s="33" t="n"/>
      <c r="H98" s="33" t="n"/>
      <c r="I98" s="3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8" customHeight="1">
      <c r="A99" s="1" t="n"/>
      <c r="B99" s="39" t="n"/>
      <c r="C99" s="39" t="n"/>
      <c r="D99" s="39" t="n"/>
      <c r="E99" s="40" t="n"/>
      <c r="F99" s="39" t="n"/>
      <c r="G99" s="39" t="n"/>
      <c r="H99" s="39" t="n"/>
      <c r="I99" s="3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8" customHeight="1">
      <c r="A100" s="1" t="n"/>
      <c r="B100" s="33" t="n"/>
      <c r="C100" s="33" t="n"/>
      <c r="D100" s="33" t="n"/>
      <c r="E100" s="42" t="n"/>
      <c r="F100" s="33" t="n"/>
      <c r="G100" s="33" t="n"/>
      <c r="H100" s="33" t="n"/>
      <c r="I100" s="3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8" customHeight="1">
      <c r="A101" s="1" t="n"/>
      <c r="B101" s="39" t="n"/>
      <c r="C101" s="39" t="n"/>
      <c r="D101" s="39" t="n"/>
      <c r="E101" s="40" t="n"/>
      <c r="F101" s="39" t="n"/>
      <c r="G101" s="39" t="n"/>
      <c r="H101" s="39" t="n"/>
      <c r="I101" s="3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8" customHeight="1">
      <c r="A102" s="1" t="n"/>
      <c r="B102" s="33" t="n"/>
      <c r="C102" s="33" t="n"/>
      <c r="D102" s="33" t="n"/>
      <c r="E102" s="42" t="n"/>
      <c r="F102" s="33" t="n"/>
      <c r="G102" s="33" t="n"/>
      <c r="H102" s="33" t="n"/>
      <c r="I102" s="3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8" customHeight="1">
      <c r="A103" s="1" t="n"/>
      <c r="B103" s="39" t="n"/>
      <c r="C103" s="39" t="n"/>
      <c r="D103" s="39" t="n"/>
      <c r="E103" s="40" t="n"/>
      <c r="F103" s="39" t="n"/>
      <c r="G103" s="39" t="n"/>
      <c r="H103" s="39" t="n"/>
      <c r="I103" s="3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8" customHeight="1">
      <c r="A104" s="1" t="n"/>
      <c r="B104" s="33" t="n"/>
      <c r="C104" s="33" t="n"/>
      <c r="D104" s="33" t="n"/>
      <c r="E104" s="42" t="n"/>
      <c r="F104" s="33" t="n"/>
      <c r="G104" s="33" t="n"/>
      <c r="H104" s="33" t="n"/>
      <c r="I104" s="3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8" customHeight="1">
      <c r="A105" s="1" t="n"/>
      <c r="B105" s="39" t="n"/>
      <c r="C105" s="39" t="n"/>
      <c r="D105" s="39" t="n"/>
      <c r="E105" s="40" t="n"/>
      <c r="F105" s="39" t="n"/>
      <c r="G105" s="39" t="n"/>
      <c r="H105" s="39" t="n"/>
      <c r="I105" s="3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8" customHeight="1">
      <c r="A106" s="1" t="n"/>
      <c r="B106" s="33" t="n"/>
      <c r="C106" s="33" t="n"/>
      <c r="D106" s="33" t="n"/>
      <c r="E106" s="42" t="n"/>
      <c r="F106" s="33" t="n"/>
      <c r="G106" s="33" t="n"/>
      <c r="H106" s="33" t="n"/>
      <c r="I106" s="3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8" customHeight="1">
      <c r="A107" s="1" t="n"/>
      <c r="B107" s="39" t="n"/>
      <c r="C107" s="39" t="n"/>
      <c r="D107" s="39" t="n"/>
      <c r="E107" s="40" t="n"/>
      <c r="F107" s="39" t="n"/>
      <c r="G107" s="39" t="n"/>
      <c r="H107" s="39" t="n"/>
      <c r="I107" s="3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8" customHeight="1">
      <c r="A108" s="1" t="n"/>
      <c r="B108" s="33" t="n"/>
      <c r="C108" s="33" t="n"/>
      <c r="D108" s="33" t="n"/>
      <c r="E108" s="42" t="n"/>
      <c r="F108" s="33" t="n"/>
      <c r="G108" s="33" t="n"/>
      <c r="H108" s="33" t="n"/>
      <c r="I108" s="3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8" customHeight="1">
      <c r="A109" s="1" t="n"/>
      <c r="B109" s="39" t="n"/>
      <c r="C109" s="39" t="n"/>
      <c r="D109" s="39" t="n"/>
      <c r="E109" s="40" t="n"/>
      <c r="F109" s="39" t="n"/>
      <c r="G109" s="39" t="n"/>
      <c r="H109" s="39" t="n"/>
      <c r="I109" s="3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8" customHeight="1">
      <c r="A110" s="1" t="n"/>
      <c r="B110" s="33" t="n"/>
      <c r="C110" s="33" t="n"/>
      <c r="D110" s="33" t="n"/>
      <c r="E110" s="42" t="n"/>
      <c r="F110" s="33" t="n"/>
      <c r="G110" s="33" t="n"/>
      <c r="H110" s="33" t="n"/>
      <c r="I110" s="3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8" customHeight="1">
      <c r="A111" s="1" t="n"/>
      <c r="B111" s="39" t="n"/>
      <c r="C111" s="39" t="n"/>
      <c r="D111" s="39" t="n"/>
      <c r="E111" s="40" t="n"/>
      <c r="F111" s="39" t="n"/>
      <c r="G111" s="39" t="n"/>
      <c r="H111" s="39" t="n"/>
      <c r="I111" s="3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8" customHeight="1">
      <c r="A112" s="1" t="n"/>
      <c r="B112" s="33" t="n"/>
      <c r="C112" s="33" t="n"/>
      <c r="D112" s="33" t="n"/>
      <c r="E112" s="42" t="n"/>
      <c r="F112" s="33" t="n"/>
      <c r="G112" s="33" t="n"/>
      <c r="H112" s="33" t="n"/>
      <c r="I112" s="3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2" ht="28" customHeight="1">
      <c r="B122" s="122" t="inlineStr">
        <is>
          <t>📊 DRE — DEMONSTRATIVO DE RESULTADO</t>
        </is>
      </c>
    </row>
    <row r="123" ht="20" customHeight="1">
      <c r="B123" s="123" t="inlineStr">
        <is>
          <t>(+) RECEITA BRUTA</t>
        </is>
      </c>
      <c r="F123" s="124">
        <f>SUMIF(C10:C500,"Receita",D10:D500)</f>
        <v/>
      </c>
    </row>
    <row r="124" ht="20" customHeight="1">
      <c r="B124" s="125" t="inlineStr">
        <is>
          <t>(-) Materiais e Insumos</t>
        </is>
      </c>
      <c r="F124" s="126">
        <f>SUMIF(C10:C500,"Custo Variável",D10:D500)</f>
        <v/>
      </c>
    </row>
    <row r="125" ht="20" customHeight="1">
      <c r="B125" s="125" t="inlineStr">
        <is>
          <t>(-) Comissões</t>
        </is>
      </c>
      <c r="F125" s="126">
        <f>SUMIF(C10:C500,"Comissão",D10:D500)</f>
        <v/>
      </c>
    </row>
    <row r="126" ht="20" customHeight="1">
      <c r="B126" s="127" t="inlineStr">
        <is>
          <t>(=) LUCRO BRUTO</t>
        </is>
      </c>
      <c r="F126" s="128">
        <f>F123-F124-F125</f>
        <v/>
      </c>
    </row>
    <row r="127" ht="20" customHeight="1">
      <c r="B127" s="125" t="inlineStr">
        <is>
          <t>(-) Aluguel / Infraestrutura</t>
        </is>
      </c>
      <c r="F127" s="126">
        <f>SUMIF(C10:C500,"Fixo",D10:D500)</f>
        <v/>
      </c>
    </row>
    <row r="128" ht="20" customHeight="1">
      <c r="B128" s="125" t="inlineStr">
        <is>
          <t>(-) Marketing / Tráfego</t>
        </is>
      </c>
      <c r="F128" s="126">
        <f>SUMIF(C10:C500,"Marketing",D10:D500)</f>
        <v/>
      </c>
    </row>
    <row r="129" ht="20" customHeight="1">
      <c r="B129" s="125" t="inlineStr">
        <is>
          <t>(-) Outros Fixos</t>
        </is>
      </c>
      <c r="F129" s="126">
        <f>SUMIF(C10:C500,"Outros",D10:D500)</f>
        <v/>
      </c>
    </row>
    <row r="130" ht="20" customHeight="1">
      <c r="B130" s="129" t="inlineStr">
        <is>
          <t>(=) EBITDA</t>
        </is>
      </c>
      <c r="F130" s="130">
        <f>F126-F127-F128-F129</f>
        <v/>
      </c>
    </row>
    <row r="131" ht="20" customHeight="1">
      <c r="B131" s="131" t="inlineStr">
        <is>
          <t>(=) LUCRO LÍQUIDO</t>
        </is>
      </c>
      <c r="F131" s="132">
        <f>F130</f>
        <v/>
      </c>
    </row>
    <row r="132" ht="20" customHeight="1">
      <c r="B132" s="133" t="inlineStr">
        <is>
          <t>(%) Margem Líquida</t>
        </is>
      </c>
      <c r="F132" s="134">
        <f>IF(F123&gt;0,F131/F123,0)</f>
        <v/>
      </c>
    </row>
  </sheetData>
  <mergeCells count="13">
    <mergeCell ref="H9:L9"/>
    <mergeCell ref="B5:G5"/>
    <mergeCell ref="H7:L7"/>
    <mergeCell ref="H6:L6"/>
    <mergeCell ref="B9:G9"/>
    <mergeCell ref="B122:H122"/>
    <mergeCell ref="B8:G8"/>
    <mergeCell ref="B2:R2"/>
    <mergeCell ref="H5:L5"/>
    <mergeCell ref="H8:L8"/>
    <mergeCell ref="B11:Q11"/>
    <mergeCell ref="B7:G7"/>
    <mergeCell ref="B6:G6"/>
  </mergeCells>
  <dataValidations count="1">
    <dataValidation sqref="C10:C500" showDropDown="0" showInputMessage="0" showErrorMessage="0" allowBlank="0" type="list">
      <formula1>"Receita,Custo Variável,Comissão,Fixo,Marketing,Outros,Sinal Recebido"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B800"/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0" customWidth="1" min="3" max="3"/>
    <col width="6" customWidth="1" min="4" max="4"/>
    <col width="6" customWidth="1" min="5" max="5"/>
    <col width="6" customWidth="1" min="6" max="6"/>
    <col width="6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5" customHeight="1">
      <c r="A2" s="1" t="n"/>
      <c r="B2" s="37" t="inlineStr">
        <is>
          <t>🧮  CALCULADORA DE PREÇO PREMIUM</t>
        </is>
      </c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0" customHeight="1">
      <c r="A4" s="1" t="n"/>
      <c r="B4" s="31" t="inlineStr">
        <is>
          <t>⚙️  PARÂMETROS DO PROJETO</t>
        </is>
      </c>
      <c r="I4" s="1" t="n"/>
      <c r="J4" s="1" t="n"/>
      <c r="K4" s="1" t="n"/>
      <c r="L4" s="1" t="n"/>
      <c r="M4" s="1" t="n"/>
      <c r="N4" s="1" t="n"/>
      <c r="O4" s="1" t="n"/>
    </row>
    <row r="5" ht="22" customHeight="1">
      <c r="A5" s="1" t="n"/>
      <c r="B5" s="57" t="inlineStr">
        <is>
          <t>Horas estimadas de trabalho</t>
        </is>
      </c>
      <c r="H5" s="58" t="n">
        <v>3</v>
      </c>
      <c r="J5" s="59" t="inlineStr"/>
      <c r="O5" s="1" t="n"/>
    </row>
    <row r="6" ht="22" customHeight="1">
      <c r="A6" s="1" t="n"/>
      <c r="B6" s="57" t="inlineStr">
        <is>
          <t>Valor da sua hora (R$)</t>
        </is>
      </c>
      <c r="H6" s="58" t="n">
        <v>80</v>
      </c>
      <c r="J6" s="59" t="inlineStr"/>
      <c r="O6" s="1" t="n"/>
    </row>
    <row r="7" ht="22" customHeight="1">
      <c r="A7" s="1" t="n"/>
      <c r="B7" s="57" t="inlineStr">
        <is>
          <t>Custo de material (R$)</t>
        </is>
      </c>
      <c r="H7" s="58" t="n">
        <v>50</v>
      </c>
      <c r="J7" s="59" t="inlineStr"/>
      <c r="O7" s="1" t="n"/>
    </row>
    <row r="8" ht="22" customHeight="1">
      <c r="A8" s="1" t="n"/>
      <c r="B8" s="57" t="inlineStr">
        <is>
          <t>Tamanho (1=Pequeno, 2=Médio, 3=Grande, 4=Manga)</t>
        </is>
      </c>
      <c r="H8" s="58" t="n">
        <v>2</v>
      </c>
      <c r="J8" s="59" t="inlineStr"/>
      <c r="O8" s="1" t="n"/>
    </row>
    <row r="9" ht="22" customHeight="1">
      <c r="A9" s="1" t="n"/>
      <c r="B9" s="57" t="inlineStr">
        <is>
          <t>Complexidade (1=Simples, 2=Médio, 3=Complexo)</t>
        </is>
      </c>
      <c r="H9" s="58" t="n">
        <v>2</v>
      </c>
      <c r="J9" s="59" t="inlineStr"/>
      <c r="O9" s="1" t="n"/>
    </row>
    <row r="10" ht="22" customHeight="1">
      <c r="A10" s="1" t="n"/>
      <c r="B10" s="57" t="inlineStr">
        <is>
          <t>Cover Up? (1=Sim, 0=Não)</t>
        </is>
      </c>
      <c r="H10" s="58" t="n">
        <v>0</v>
      </c>
      <c r="J10" s="59" t="inlineStr"/>
      <c r="O10" s="1" t="n"/>
    </row>
    <row r="11" ht="22" customHeight="1">
      <c r="A11" s="1" t="n"/>
      <c r="B11" s="57" t="inlineStr">
        <is>
          <t>Colorida? (1=Sim, 0=Não)</t>
        </is>
      </c>
      <c r="H11" s="58" t="n">
        <v>0</v>
      </c>
      <c r="J11" s="59" t="inlineStr"/>
      <c r="O11" s="1" t="n"/>
    </row>
    <row r="12" ht="22" customHeight="1">
      <c r="A12" s="1" t="n"/>
      <c r="B12" s="57" t="inlineStr">
        <is>
          <t>Região sensível? (1=Sim, 0=Não)</t>
        </is>
      </c>
      <c r="H12" s="58" t="n">
        <v>0</v>
      </c>
      <c r="J12" s="59" t="inlineStr"/>
      <c r="O12" s="1" t="n"/>
    </row>
    <row r="13" ht="22" customHeight="1">
      <c r="A13" s="1" t="n"/>
      <c r="B13" s="57" t="inlineStr">
        <is>
          <t>Margem de lucro desejada %</t>
        </is>
      </c>
      <c r="H13" s="58" t="n">
        <v>40</v>
      </c>
      <c r="J13" s="59" t="inlineStr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20" customHeight="1">
      <c r="A15" s="1" t="n"/>
      <c r="B15" s="31" t="inlineStr">
        <is>
          <t>💰  RESULTADO DO CÁLCULO</t>
        </is>
      </c>
      <c r="N15" s="1" t="n"/>
      <c r="O15" s="1" t="n"/>
    </row>
    <row r="16" ht="22" customHeight="1">
      <c r="A16" s="1" t="n"/>
      <c r="B16" s="1" t="n"/>
      <c r="C16" s="60" t="inlineStr">
        <is>
          <t>Custo base (horas × hora)</t>
        </is>
      </c>
      <c r="I16" s="61">
        <f>H5*H6+H7</f>
        <v/>
      </c>
      <c r="O16" s="1" t="n"/>
    </row>
    <row r="17" ht="22" customHeight="1">
      <c r="A17" s="1" t="n"/>
      <c r="B17" s="1" t="n"/>
      <c r="C17" s="62" t="inlineStr">
        <is>
          <t>Multiplicador de tamanho</t>
        </is>
      </c>
      <c r="I17" s="63">
        <f>IF(H8=1,1,IF(H8=2,1.3,IF(H8=3,1.7,2.5)))</f>
        <v/>
      </c>
      <c r="O17" s="1" t="n"/>
    </row>
    <row r="18" ht="22" customHeight="1">
      <c r="A18" s="1" t="n"/>
      <c r="B18" s="1" t="n"/>
      <c r="C18" s="62" t="inlineStr">
        <is>
          <t>Multiplicador de complexidade</t>
        </is>
      </c>
      <c r="I18" s="63">
        <f>IF(H9=1,1,IF(H9=2,1.25,1.6))</f>
        <v/>
      </c>
      <c r="O18" s="1" t="n"/>
    </row>
    <row r="19" ht="22" customHeight="1">
      <c r="A19" s="1" t="n"/>
      <c r="B19" s="1" t="n"/>
      <c r="C19" s="64" t="inlineStr">
        <is>
          <t>Adicional cover up (+40%)</t>
        </is>
      </c>
      <c r="I19" s="65">
        <f>IF(H10=1,B16*0.4,0)</f>
        <v/>
      </c>
      <c r="O19" s="1" t="n"/>
    </row>
    <row r="20" ht="22" customHeight="1">
      <c r="A20" s="1" t="n"/>
      <c r="B20" s="1" t="n"/>
      <c r="C20" s="66" t="inlineStr">
        <is>
          <t>Adicional colorida (+30%)</t>
        </is>
      </c>
      <c r="I20" s="67">
        <f>IF(H11=1,B16*0.3,0)</f>
        <v/>
      </c>
      <c r="O20" s="1" t="n"/>
    </row>
    <row r="21" ht="22" customHeight="1">
      <c r="A21" s="1" t="n"/>
      <c r="B21" s="1" t="n"/>
      <c r="C21" s="68" t="inlineStr">
        <is>
          <t>Adicional região (+20%)</t>
        </is>
      </c>
      <c r="I21" s="69">
        <f>IF(H12=1,B16*0.2,0)</f>
        <v/>
      </c>
      <c r="O21" s="1" t="n"/>
    </row>
    <row r="22" ht="22" customHeight="1">
      <c r="A22" s="1" t="n"/>
      <c r="B22" s="1" t="n"/>
      <c r="C22" s="70" t="inlineStr">
        <is>
          <t>Subtotal antes margem</t>
        </is>
      </c>
      <c r="I22" s="71">
        <f>B16*B17*B18+B19+B20+B21</f>
        <v/>
      </c>
      <c r="O22" s="1" t="n"/>
    </row>
    <row r="23" ht="22" customHeight="1">
      <c r="A23" s="1" t="n"/>
      <c r="B23" s="1" t="n"/>
      <c r="C23" s="72" t="inlineStr">
        <is>
          <t>Margem de lucro</t>
        </is>
      </c>
      <c r="I23" s="73">
        <f>B22*(H13/100)</f>
        <v/>
      </c>
      <c r="O23" s="1" t="n"/>
    </row>
    <row r="24" ht="28" customHeight="1">
      <c r="A24" s="1" t="n"/>
      <c r="B24" s="1" t="n"/>
      <c r="C24" s="74" t="inlineStr">
        <is>
          <t>⭐ PREÇO MÍNIMO SUGERIDO</t>
        </is>
      </c>
      <c r="I24" s="75">
        <f>CEILING(B22+B23,50)</f>
        <v/>
      </c>
      <c r="O24" s="1" t="n"/>
    </row>
    <row r="25" ht="28" customHeight="1">
      <c r="A25" s="1" t="n"/>
      <c r="B25" s="1" t="n"/>
      <c r="C25" s="76" t="inlineStr">
        <is>
          <t>⭐ PREÇO PREMIUM (+20%)</t>
        </is>
      </c>
      <c r="I25" s="77">
        <f>CEILING((B22+B23)*1.2,50)</f>
        <v/>
      </c>
      <c r="O25" s="1" t="n"/>
    </row>
    <row r="26" ht="28" customHeight="1">
      <c r="A26" s="1" t="n"/>
      <c r="B26" s="1" t="n"/>
      <c r="C26" s="78" t="inlineStr">
        <is>
          <t>Lucro na venda mínima</t>
        </is>
      </c>
      <c r="I26" s="79">
        <f>B24-B16</f>
        <v/>
      </c>
      <c r="O26" s="1" t="n"/>
    </row>
    <row r="27" ht="28" customHeight="1">
      <c r="A27" s="1" t="n"/>
      <c r="B27" s="1" t="n"/>
      <c r="C27" s="80" t="inlineStr">
        <is>
          <t>Lucro no preço premium</t>
        </is>
      </c>
      <c r="I27" s="81">
        <f>B25-B16</f>
        <v/>
      </c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3" ht="28" customHeight="1">
      <c r="B63" s="122" t="inlineStr">
        <is>
          <t>💡 COMPARATIVO DE TICKET — MERCADO BH 2026</t>
        </is>
      </c>
    </row>
    <row r="64">
      <c r="B64" s="118" t="inlineStr">
        <is>
          <t>NÍVEL</t>
        </is>
      </c>
      <c r="C64" s="118" t="inlineStr">
        <is>
          <t>PREÇO/HORA</t>
        </is>
      </c>
      <c r="D64" s="118" t="inlineStr">
        <is>
          <t>3 HORAS</t>
        </is>
      </c>
      <c r="E64" s="118" t="inlineStr">
        <is>
          <t>6 HORAS</t>
        </is>
      </c>
      <c r="F64" s="118" t="inlineStr">
        <is>
          <t>10 HORAS</t>
        </is>
      </c>
      <c r="G64" s="118" t="inlineStr">
        <is>
          <t>% MERCADO</t>
        </is>
      </c>
    </row>
    <row r="65">
      <c r="B65" s="135" t="inlineStr">
        <is>
          <t>Básico</t>
        </is>
      </c>
      <c r="C65" s="135" t="inlineStr">
        <is>
          <t>R$ 80-120</t>
        </is>
      </c>
      <c r="D65" s="135" t="inlineStr">
        <is>
          <t>R$ 240-360</t>
        </is>
      </c>
      <c r="E65" s="135" t="inlineStr">
        <is>
          <t>R$ 480-720</t>
        </is>
      </c>
      <c r="F65" s="135" t="inlineStr">
        <is>
          <t>R$ 800-1200</t>
        </is>
      </c>
      <c r="G65" s="135" t="inlineStr">
        <is>
          <t>40%</t>
        </is>
      </c>
    </row>
    <row r="66">
      <c r="B66" s="136" t="inlineStr">
        <is>
          <t>Médio</t>
        </is>
      </c>
      <c r="C66" s="136" t="inlineStr">
        <is>
          <t>R$ 150-220</t>
        </is>
      </c>
      <c r="D66" s="136" t="inlineStr">
        <is>
          <t>R$ 450-660</t>
        </is>
      </c>
      <c r="E66" s="136" t="inlineStr">
        <is>
          <t>R$ 900-1320</t>
        </is>
      </c>
      <c r="F66" s="136" t="inlineStr">
        <is>
          <t>R$ 1500-2200</t>
        </is>
      </c>
      <c r="G66" s="136" t="inlineStr">
        <is>
          <t>35%</t>
        </is>
      </c>
    </row>
    <row r="67">
      <c r="B67" s="137" t="inlineStr">
        <is>
          <t>Premium</t>
        </is>
      </c>
      <c r="C67" s="137" t="inlineStr">
        <is>
          <t>R$ 250-380</t>
        </is>
      </c>
      <c r="D67" s="137" t="inlineStr">
        <is>
          <t>R$ 750-1140</t>
        </is>
      </c>
      <c r="E67" s="137" t="inlineStr">
        <is>
          <t>R$ 1500-2280</t>
        </is>
      </c>
      <c r="F67" s="137" t="inlineStr">
        <is>
          <t>R$ 2500-3800</t>
        </is>
      </c>
      <c r="G67" s="137" t="inlineStr">
        <is>
          <t>20%</t>
        </is>
      </c>
    </row>
    <row r="68">
      <c r="B68" s="138" t="inlineStr">
        <is>
          <t>Top Artista</t>
        </is>
      </c>
      <c r="C68" s="138" t="inlineStr">
        <is>
          <t>R$ 450-700</t>
        </is>
      </c>
      <c r="D68" s="138" t="inlineStr">
        <is>
          <t>R$ 1350-2100</t>
        </is>
      </c>
      <c r="E68" s="138" t="inlineStr">
        <is>
          <t>R$ 2700-4200</t>
        </is>
      </c>
      <c r="F68" s="138" t="inlineStr">
        <is>
          <t>R$ 4500-7000</t>
        </is>
      </c>
      <c r="G68" s="138" t="inlineStr">
        <is>
          <t>5%</t>
        </is>
      </c>
    </row>
  </sheetData>
  <mergeCells count="55">
    <mergeCell ref="C25:H25"/>
    <mergeCell ref="I25:N25"/>
    <mergeCell ref="C26:H26"/>
    <mergeCell ref="C16:H16"/>
    <mergeCell ref="H10:I10"/>
    <mergeCell ref="J5:N5"/>
    <mergeCell ref="C22:H22"/>
    <mergeCell ref="I22:N22"/>
    <mergeCell ref="B8:G8"/>
    <mergeCell ref="J10:N10"/>
    <mergeCell ref="I18:N18"/>
    <mergeCell ref="B13:G13"/>
    <mergeCell ref="J13:N13"/>
    <mergeCell ref="H9:I9"/>
    <mergeCell ref="C21:H21"/>
    <mergeCell ref="I21:N21"/>
    <mergeCell ref="B11:G11"/>
    <mergeCell ref="B63:H63"/>
    <mergeCell ref="J9:N9"/>
    <mergeCell ref="B10:G10"/>
    <mergeCell ref="H6:I6"/>
    <mergeCell ref="I24:N24"/>
    <mergeCell ref="I16:N16"/>
    <mergeCell ref="B4:H4"/>
    <mergeCell ref="C27:H27"/>
    <mergeCell ref="J6:N6"/>
    <mergeCell ref="B9:G9"/>
    <mergeCell ref="C23:H23"/>
    <mergeCell ref="I17:N17"/>
    <mergeCell ref="I23:N23"/>
    <mergeCell ref="C17:H17"/>
    <mergeCell ref="I20:N20"/>
    <mergeCell ref="B6:G6"/>
    <mergeCell ref="H11:I11"/>
    <mergeCell ref="B15:M15"/>
    <mergeCell ref="C19:H19"/>
    <mergeCell ref="I19:N19"/>
    <mergeCell ref="B5:G5"/>
    <mergeCell ref="J11:N11"/>
    <mergeCell ref="H7:I7"/>
    <mergeCell ref="J7:N7"/>
    <mergeCell ref="C18:H18"/>
    <mergeCell ref="H13:I13"/>
    <mergeCell ref="B2:N2"/>
    <mergeCell ref="B7:G7"/>
    <mergeCell ref="H12:I12"/>
    <mergeCell ref="C24:H24"/>
    <mergeCell ref="I27:N27"/>
    <mergeCell ref="J12:N12"/>
    <mergeCell ref="I26:N26"/>
    <mergeCell ref="H5:I5"/>
    <mergeCell ref="B12:G12"/>
    <mergeCell ref="H8:I8"/>
    <mergeCell ref="J8:N8"/>
    <mergeCell ref="C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M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16" customWidth="1" min="11" max="11"/>
    <col width="13" customWidth="1" min="12" max="12"/>
    <col width="1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5" customHeight="1">
      <c r="A2" s="1" t="n"/>
      <c r="B2" s="37" t="inlineStr">
        <is>
          <t>📦  CONTROLE DE ESTOQUE — CENTRAL TATTOO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2" customHeight="1">
      <c r="A4" s="1" t="n"/>
      <c r="B4" s="38" t="inlineStr">
        <is>
          <t>MATERIAL</t>
        </is>
      </c>
      <c r="C4" s="38" t="inlineStr">
        <is>
          <t>CATEGORIA</t>
        </is>
      </c>
      <c r="D4" s="38" t="inlineStr">
        <is>
          <t>QTD ATUAL</t>
        </is>
      </c>
      <c r="E4" s="38" t="inlineStr">
        <is>
          <t>UNID.</t>
        </is>
      </c>
      <c r="F4" s="38" t="inlineStr">
        <is>
          <t>CUSTO UNIT.</t>
        </is>
      </c>
      <c r="G4" s="38" t="inlineStr">
        <is>
          <t>VALOR TOTAL</t>
        </is>
      </c>
      <c r="H4" s="38" t="inlineStr">
        <is>
          <t>QTD MÍNIMA</t>
        </is>
      </c>
      <c r="I4" s="38" t="inlineStr">
        <is>
          <t>STATUS</t>
        </is>
      </c>
      <c r="J4" s="38" t="inlineStr">
        <is>
          <t>ÚLTIMO PEDIDO</t>
        </is>
      </c>
      <c r="K4" s="38" t="inlineStr">
        <is>
          <t>FORNECEDOR</t>
        </is>
      </c>
      <c r="L4" s="118" t="inlineStr">
        <is>
          <t>CUSTO/SESSÃO</t>
        </is>
      </c>
      <c r="M4" s="118" t="inlineStr">
        <is>
          <t>REPOSIÇÃO?</t>
        </is>
      </c>
    </row>
    <row r="5" ht="18" customHeight="1">
      <c r="A5" s="1" t="n"/>
      <c r="B5" s="39" t="inlineStr">
        <is>
          <t>Tinta Preta</t>
        </is>
      </c>
      <c r="C5" s="39" t="inlineStr">
        <is>
          <t>Tinta</t>
        </is>
      </c>
      <c r="D5" s="39" t="n">
        <v>5</v>
      </c>
      <c r="E5" s="107" t="inlineStr">
        <is>
          <t>frascos</t>
        </is>
      </c>
      <c r="F5" s="107">
        <f>IF(AND(C5&lt;&gt;"",E5&lt;&gt;""),C5*E5,"")</f>
        <v/>
      </c>
      <c r="G5" s="39">
        <f>C5*E5</f>
        <v/>
      </c>
      <c r="H5" s="39">
        <f>IF(C5="","",IF(C5&lt;=G5,"🔴 REPOR JÁ",IF(C5&lt;=G5*1.5,"🟡 ATENÇÃO","🟢 OK")))</f>
        <v/>
      </c>
      <c r="I5" s="39">
        <f>IF(C5&lt;=G5,"🔴 REPOR JÁ",IF(C5&lt;=G5*1.5,"🟡 ATENÇÃO","🟢 OK"))</f>
        <v/>
      </c>
      <c r="J5" s="39" t="inlineStr"/>
      <c r="K5" s="39" t="inlineStr"/>
      <c r="L5" s="107">
        <f>IF(C5&gt;0,E5/C5,"")</f>
        <v/>
      </c>
      <c r="M5" s="1">
        <f>IF(C5&lt;&gt;"",IF(C5&lt;=G5,"⚠️ PEDIDO URGENTE",IF(C5&lt;=G5*1.5,"📦 Planejar Pedido","✅ Estoque OK")),"")</f>
        <v/>
      </c>
    </row>
    <row r="6" ht="18" customHeight="1">
      <c r="A6" s="1" t="n"/>
      <c r="B6" s="33" t="inlineStr">
        <is>
          <t>Tinta Colorida Vermelha</t>
        </is>
      </c>
      <c r="C6" s="33" t="inlineStr">
        <is>
          <t>Tinta</t>
        </is>
      </c>
      <c r="D6" s="33" t="n">
        <v>3</v>
      </c>
      <c r="E6" s="109" t="inlineStr">
        <is>
          <t>frascos</t>
        </is>
      </c>
      <c r="F6" s="109">
        <f>IF(AND(C6&lt;&gt;"",E6&lt;&gt;""),C6*E6,"")</f>
        <v/>
      </c>
      <c r="G6" s="33">
        <f>C6*E6</f>
        <v/>
      </c>
      <c r="H6" s="33">
        <f>IF(C6="","",IF(C6&lt;=G6,"🔴 REPOR JÁ",IF(C6&lt;=G6*1.5,"🟡 ATENÇÃO","🟢 OK")))</f>
        <v/>
      </c>
      <c r="I6" s="33">
        <f>IF(C6&lt;=G6,"🔴 REPOR JÁ",IF(C6&lt;=G6*1.5,"🟡 ATENÇÃO","🟢 OK"))</f>
        <v/>
      </c>
      <c r="J6" s="33" t="inlineStr"/>
      <c r="K6" s="33" t="inlineStr"/>
      <c r="L6" s="109">
        <f>IF(C6&gt;0,E6/C6,"")</f>
        <v/>
      </c>
      <c r="M6" s="1">
        <f>IF(C6&lt;&gt;"",IF(C6&lt;=G6,"⚠️ PEDIDO URGENTE",IF(C6&lt;=G6*1.5,"📦 Planejar Pedido","✅ Estoque OK")),"")</f>
        <v/>
      </c>
    </row>
    <row r="7" ht="18" customHeight="1">
      <c r="A7" s="1" t="n"/>
      <c r="B7" s="39" t="inlineStr">
        <is>
          <t>Tinta Colorida Azul</t>
        </is>
      </c>
      <c r="C7" s="39" t="inlineStr">
        <is>
          <t>Tinta</t>
        </is>
      </c>
      <c r="D7" s="39" t="n">
        <v>3</v>
      </c>
      <c r="E7" s="107" t="inlineStr">
        <is>
          <t>frascos</t>
        </is>
      </c>
      <c r="F7" s="107">
        <f>IF(AND(C7&lt;&gt;"",E7&lt;&gt;""),C7*E7,"")</f>
        <v/>
      </c>
      <c r="G7" s="39">
        <f>C7*E7</f>
        <v/>
      </c>
      <c r="H7" s="39">
        <f>IF(C7="","",IF(C7&lt;=G7,"🔴 REPOR JÁ",IF(C7&lt;=G7*1.5,"🟡 ATENÇÃO","🟢 OK")))</f>
        <v/>
      </c>
      <c r="I7" s="39">
        <f>IF(C7&lt;=G7,"🔴 REPOR JÁ",IF(C7&lt;=G7*1.5,"🟡 ATENÇÃO","🟢 OK"))</f>
        <v/>
      </c>
      <c r="J7" s="39" t="inlineStr"/>
      <c r="K7" s="39" t="inlineStr"/>
      <c r="L7" s="107">
        <f>IF(C7&gt;0,E7/C7,"")</f>
        <v/>
      </c>
      <c r="M7" s="1">
        <f>IF(C7&lt;&gt;"",IF(C7&lt;=G7,"⚠️ PEDIDO URGENTE",IF(C7&lt;=G7*1.5,"📦 Planejar Pedido","✅ Estoque OK")),"")</f>
        <v/>
      </c>
    </row>
    <row r="8" ht="18" customHeight="1">
      <c r="A8" s="1" t="n"/>
      <c r="B8" s="33" t="inlineStr">
        <is>
          <t>Agulhas Liner 3RL</t>
        </is>
      </c>
      <c r="C8" s="33" t="inlineStr">
        <is>
          <t>Agulhas</t>
        </is>
      </c>
      <c r="D8" s="33" t="n">
        <v>50</v>
      </c>
      <c r="E8" s="109" t="inlineStr">
        <is>
          <t>un</t>
        </is>
      </c>
      <c r="F8" s="109">
        <f>IF(AND(C8&lt;&gt;"",E8&lt;&gt;""),C8*E8,"")</f>
        <v/>
      </c>
      <c r="G8" s="33">
        <f>C8*E8</f>
        <v/>
      </c>
      <c r="H8" s="33">
        <f>IF(C8="","",IF(C8&lt;=G8,"🔴 REPOR JÁ",IF(C8&lt;=G8*1.5,"🟡 ATENÇÃO","🟢 OK")))</f>
        <v/>
      </c>
      <c r="I8" s="33">
        <f>IF(C8&lt;=G8,"🔴 REPOR JÁ",IF(C8&lt;=G8*1.5,"🟡 ATENÇÃO","🟢 OK"))</f>
        <v/>
      </c>
      <c r="J8" s="33" t="inlineStr"/>
      <c r="K8" s="33" t="inlineStr"/>
      <c r="L8" s="109">
        <f>IF(C8&gt;0,E8/C8,"")</f>
        <v/>
      </c>
      <c r="M8" s="1">
        <f>IF(C8&lt;&gt;"",IF(C8&lt;=G8,"⚠️ PEDIDO URGENTE",IF(C8&lt;=G8*1.5,"📦 Planejar Pedido","✅ Estoque OK")),"")</f>
        <v/>
      </c>
    </row>
    <row r="9" ht="18" customHeight="1">
      <c r="A9" s="1" t="n"/>
      <c r="B9" s="39" t="inlineStr">
        <is>
          <t>Agulhas Liner 5RL</t>
        </is>
      </c>
      <c r="C9" s="39" t="inlineStr">
        <is>
          <t>Agulhas</t>
        </is>
      </c>
      <c r="D9" s="39" t="n">
        <v>50</v>
      </c>
      <c r="E9" s="107" t="inlineStr">
        <is>
          <t>un</t>
        </is>
      </c>
      <c r="F9" s="107">
        <f>IF(AND(C9&lt;&gt;"",E9&lt;&gt;""),C9*E9,"")</f>
        <v/>
      </c>
      <c r="G9" s="39">
        <f>C9*E9</f>
        <v/>
      </c>
      <c r="H9" s="39">
        <f>IF(C9="","",IF(C9&lt;=G9,"🔴 REPOR JÁ",IF(C9&lt;=G9*1.5,"🟡 ATENÇÃO","🟢 OK")))</f>
        <v/>
      </c>
      <c r="I9" s="39">
        <f>IF(C9&lt;=G9,"🔴 REPOR JÁ",IF(C9&lt;=G9*1.5,"🟡 ATENÇÃO","🟢 OK"))</f>
        <v/>
      </c>
      <c r="J9" s="39" t="inlineStr"/>
      <c r="K9" s="39" t="inlineStr"/>
      <c r="L9" s="107">
        <f>IF(C9&gt;0,E9/C9,"")</f>
        <v/>
      </c>
      <c r="M9" s="1">
        <f>IF(C9&lt;&gt;"",IF(C9&lt;=G9,"⚠️ PEDIDO URGENTE",IF(C9&lt;=G9*1.5,"📦 Planejar Pedido","✅ Estoque OK")),"")</f>
        <v/>
      </c>
    </row>
    <row r="10" ht="18" customHeight="1">
      <c r="A10" s="1" t="n"/>
      <c r="B10" s="33" t="inlineStr">
        <is>
          <t>Agulhas Shader 7M</t>
        </is>
      </c>
      <c r="C10" s="33" t="inlineStr">
        <is>
          <t>Agulhas</t>
        </is>
      </c>
      <c r="D10" s="33" t="n">
        <v>30</v>
      </c>
      <c r="E10" s="109" t="inlineStr">
        <is>
          <t>un</t>
        </is>
      </c>
      <c r="F10" s="109">
        <f>IF(AND(C10&lt;&gt;"",E10&lt;&gt;""),C10*E10,"")</f>
        <v/>
      </c>
      <c r="G10" s="33">
        <f>C10*E10</f>
        <v/>
      </c>
      <c r="H10" s="33">
        <f>IF(C10="","",IF(C10&lt;=G10,"🔴 REPOR JÁ",IF(C10&lt;=G10*1.5,"🟡 ATENÇÃO","🟢 OK")))</f>
        <v/>
      </c>
      <c r="I10" s="33">
        <f>IF(C10&lt;=G10,"🔴 REPOR JÁ",IF(C10&lt;=G10*1.5,"🟡 ATENÇÃO","🟢 OK"))</f>
        <v/>
      </c>
      <c r="J10" s="33" t="inlineStr"/>
      <c r="K10" s="33" t="inlineStr"/>
      <c r="L10" s="109">
        <f>IF(C10&gt;0,E10/C10,"")</f>
        <v/>
      </c>
      <c r="M10" s="1">
        <f>IF(C10&lt;&gt;"",IF(C10&lt;=G10,"⚠️ PEDIDO URGENTE",IF(C10&lt;=G10*1.5,"📦 Planejar Pedido","✅ Estoque OK")),"")</f>
        <v/>
      </c>
    </row>
    <row r="11" ht="18" customHeight="1">
      <c r="A11" s="1" t="n"/>
      <c r="B11" s="39" t="inlineStr">
        <is>
          <t>Agulhas Magnum 15M</t>
        </is>
      </c>
      <c r="C11" s="39" t="inlineStr">
        <is>
          <t>Agulhas</t>
        </is>
      </c>
      <c r="D11" s="39" t="n">
        <v>20</v>
      </c>
      <c r="E11" s="107" t="inlineStr">
        <is>
          <t>un</t>
        </is>
      </c>
      <c r="F11" s="107">
        <f>IF(AND(C11&lt;&gt;"",E11&lt;&gt;""),C11*E11,"")</f>
        <v/>
      </c>
      <c r="G11" s="39">
        <f>C11*E11</f>
        <v/>
      </c>
      <c r="H11" s="39">
        <f>IF(C11="","",IF(C11&lt;=G11,"🔴 REPOR JÁ",IF(C11&lt;=G11*1.5,"🟡 ATENÇÃO","🟢 OK")))</f>
        <v/>
      </c>
      <c r="I11" s="39">
        <f>IF(C11&lt;=G11,"🔴 REPOR JÁ",IF(C11&lt;=G11*1.5,"🟡 ATENÇÃO","🟢 OK"))</f>
        <v/>
      </c>
      <c r="J11" s="39" t="inlineStr"/>
      <c r="K11" s="39" t="inlineStr"/>
      <c r="L11" s="107">
        <f>IF(C11&gt;0,E11/C11,"")</f>
        <v/>
      </c>
      <c r="M11" s="1">
        <f>IF(C11&lt;&gt;"",IF(C11&lt;=G11,"⚠️ PEDIDO URGENTE",IF(C11&lt;=G11*1.5,"📦 Planejar Pedido","✅ Estoque OK")),"")</f>
        <v/>
      </c>
    </row>
    <row r="12" ht="18" customHeight="1">
      <c r="A12" s="1" t="n"/>
      <c r="B12" s="33" t="inlineStr">
        <is>
          <t>Película de Proteção</t>
        </is>
      </c>
      <c r="C12" s="33" t="inlineStr">
        <is>
          <t>Proteção</t>
        </is>
      </c>
      <c r="D12" s="33" t="n">
        <v>100</v>
      </c>
      <c r="E12" s="109" t="inlineStr">
        <is>
          <t>metros</t>
        </is>
      </c>
      <c r="F12" s="109">
        <f>IF(AND(C12&lt;&gt;"",E12&lt;&gt;""),C12*E12,"")</f>
        <v/>
      </c>
      <c r="G12" s="33">
        <f>C12*E12</f>
        <v/>
      </c>
      <c r="H12" s="33">
        <f>IF(C12="","",IF(C12&lt;=G12,"🔴 REPOR JÁ",IF(C12&lt;=G12*1.5,"🟡 ATENÇÃO","🟢 OK")))</f>
        <v/>
      </c>
      <c r="I12" s="33">
        <f>IF(C12&lt;=G12,"🔴 REPOR JÁ",IF(C12&lt;=G12*1.5,"🟡 ATENÇÃO","🟢 OK"))</f>
        <v/>
      </c>
      <c r="J12" s="33" t="inlineStr"/>
      <c r="K12" s="33" t="inlineStr"/>
      <c r="L12" s="109">
        <f>IF(C12&gt;0,E12/C12,"")</f>
        <v/>
      </c>
      <c r="M12" s="1">
        <f>IF(C12&lt;&gt;"",IF(C12&lt;=G12,"⚠️ PEDIDO URGENTE",IF(C12&lt;=G12*1.5,"📦 Planejar Pedido","✅ Estoque OK")),"")</f>
        <v/>
      </c>
    </row>
    <row r="13" ht="18" customHeight="1">
      <c r="A13" s="1" t="n"/>
      <c r="B13" s="39" t="inlineStr">
        <is>
          <t>Luvas Nitrila P</t>
        </is>
      </c>
      <c r="C13" s="39" t="inlineStr">
        <is>
          <t>Segurança</t>
        </is>
      </c>
      <c r="D13" s="39" t="n">
        <v>2</v>
      </c>
      <c r="E13" s="107" t="inlineStr">
        <is>
          <t>caixas</t>
        </is>
      </c>
      <c r="F13" s="107">
        <f>IF(AND(C13&lt;&gt;"",E13&lt;&gt;""),C13*E13,"")</f>
        <v/>
      </c>
      <c r="G13" s="39">
        <f>C13*E13</f>
        <v/>
      </c>
      <c r="H13" s="39">
        <f>IF(C13="","",IF(C13&lt;=G13,"🔴 REPOR JÁ",IF(C13&lt;=G13*1.5,"🟡 ATENÇÃO","🟢 OK")))</f>
        <v/>
      </c>
      <c r="I13" s="39">
        <f>IF(C13&lt;=G13,"🔴 REPOR JÁ",IF(C13&lt;=G13*1.5,"🟡 ATENÇÃO","🟢 OK"))</f>
        <v/>
      </c>
      <c r="J13" s="39" t="inlineStr"/>
      <c r="K13" s="39" t="inlineStr"/>
      <c r="L13" s="107">
        <f>IF(C13&gt;0,E13/C13,"")</f>
        <v/>
      </c>
      <c r="M13" s="1">
        <f>IF(C13&lt;&gt;"",IF(C13&lt;=G13,"⚠️ PEDIDO URGENTE",IF(C13&lt;=G13*1.5,"📦 Planejar Pedido","✅ Estoque OK")),"")</f>
        <v/>
      </c>
    </row>
    <row r="14" ht="18" customHeight="1">
      <c r="A14" s="1" t="n"/>
      <c r="B14" s="33" t="inlineStr">
        <is>
          <t>Luvas Nitrila M</t>
        </is>
      </c>
      <c r="C14" s="33" t="inlineStr">
        <is>
          <t>Segurança</t>
        </is>
      </c>
      <c r="D14" s="33" t="n">
        <v>2</v>
      </c>
      <c r="E14" s="109" t="inlineStr">
        <is>
          <t>caixas</t>
        </is>
      </c>
      <c r="F14" s="109">
        <f>IF(AND(C14&lt;&gt;"",E14&lt;&gt;""),C14*E14,"")</f>
        <v/>
      </c>
      <c r="G14" s="33">
        <f>C14*E14</f>
        <v/>
      </c>
      <c r="H14" s="33">
        <f>IF(C14="","",IF(C14&lt;=G14,"🔴 REPOR JÁ",IF(C14&lt;=G14*1.5,"🟡 ATENÇÃO","🟢 OK")))</f>
        <v/>
      </c>
      <c r="I14" s="33">
        <f>IF(C14&lt;=G14,"🔴 REPOR JÁ",IF(C14&lt;=G14*1.5,"🟡 ATENÇÃO","🟢 OK"))</f>
        <v/>
      </c>
      <c r="J14" s="33" t="inlineStr"/>
      <c r="K14" s="33" t="inlineStr"/>
      <c r="L14" s="109">
        <f>IF(C14&gt;0,E14/C14,"")</f>
        <v/>
      </c>
      <c r="M14" s="1">
        <f>IF(C14&lt;&gt;"",IF(C14&lt;=G14,"⚠️ PEDIDO URGENTE",IF(C14&lt;=G14*1.5,"📦 Planejar Pedido","✅ Estoque OK")),"")</f>
        <v/>
      </c>
    </row>
    <row r="15" ht="18" customHeight="1">
      <c r="A15" s="1" t="n"/>
      <c r="B15" s="39" t="inlineStr">
        <is>
          <t>Luvas Nitrila G</t>
        </is>
      </c>
      <c r="C15" s="39" t="inlineStr">
        <is>
          <t>Segurança</t>
        </is>
      </c>
      <c r="D15" s="39" t="n">
        <v>1</v>
      </c>
      <c r="E15" s="107" t="inlineStr">
        <is>
          <t>caixas</t>
        </is>
      </c>
      <c r="F15" s="107">
        <f>IF(AND(C15&lt;&gt;"",E15&lt;&gt;""),C15*E15,"")</f>
        <v/>
      </c>
      <c r="G15" s="39">
        <f>C15*E15</f>
        <v/>
      </c>
      <c r="H15" s="39">
        <f>IF(C15="","",IF(C15&lt;=G15,"🔴 REPOR JÁ",IF(C15&lt;=G15*1.5,"🟡 ATENÇÃO","🟢 OK")))</f>
        <v/>
      </c>
      <c r="I15" s="39">
        <f>IF(C15&lt;=G15,"🔴 REPOR JÁ",IF(C15&lt;=G15*1.5,"🟡 ATENÇÃO","🟢 OK"))</f>
        <v/>
      </c>
      <c r="J15" s="39" t="inlineStr"/>
      <c r="K15" s="39" t="inlineStr"/>
      <c r="L15" s="107">
        <f>IF(C15&gt;0,E15/C15,"")</f>
        <v/>
      </c>
      <c r="M15" s="1">
        <f>IF(C15&lt;&gt;"",IF(C15&lt;=G15,"⚠️ PEDIDO URGENTE",IF(C15&lt;=G15*1.5,"📦 Planejar Pedido","✅ Estoque OK")),"")</f>
        <v/>
      </c>
    </row>
    <row r="16" ht="18" customHeight="1">
      <c r="A16" s="1" t="n"/>
      <c r="B16" s="33" t="inlineStr">
        <is>
          <t>Vaselina</t>
        </is>
      </c>
      <c r="C16" s="33" t="inlineStr">
        <is>
          <t>Consumível</t>
        </is>
      </c>
      <c r="D16" s="33" t="n">
        <v>10</v>
      </c>
      <c r="E16" s="109" t="inlineStr">
        <is>
          <t>potes</t>
        </is>
      </c>
      <c r="F16" s="109">
        <f>IF(AND(C16&lt;&gt;"",E16&lt;&gt;""),C16*E16,"")</f>
        <v/>
      </c>
      <c r="G16" s="33">
        <f>C16*E16</f>
        <v/>
      </c>
      <c r="H16" s="33">
        <f>IF(C16="","",IF(C16&lt;=G16,"🔴 REPOR JÁ",IF(C16&lt;=G16*1.5,"🟡 ATENÇÃO","🟢 OK")))</f>
        <v/>
      </c>
      <c r="I16" s="33">
        <f>IF(C16&lt;=G16,"🔴 REPOR JÁ",IF(C16&lt;=G16*1.5,"🟡 ATENÇÃO","🟢 OK"))</f>
        <v/>
      </c>
      <c r="J16" s="33" t="inlineStr"/>
      <c r="K16" s="33" t="inlineStr"/>
      <c r="L16" s="109">
        <f>IF(C16&gt;0,E16/C16,"")</f>
        <v/>
      </c>
      <c r="M16" s="1">
        <f>IF(C16&lt;&gt;"",IF(C16&lt;=G16,"⚠️ PEDIDO URGENTE",IF(C16&lt;=G16*1.5,"📦 Planejar Pedido","✅ Estoque OK")),"")</f>
        <v/>
      </c>
    </row>
    <row r="17" ht="18" customHeight="1">
      <c r="A17" s="1" t="n"/>
      <c r="B17" s="39" t="inlineStr">
        <is>
          <t>Sabão Antisséptico</t>
        </is>
      </c>
      <c r="C17" s="39" t="inlineStr">
        <is>
          <t>Higiene</t>
        </is>
      </c>
      <c r="D17" s="39" t="n">
        <v>3</v>
      </c>
      <c r="E17" s="107" t="inlineStr">
        <is>
          <t>litros</t>
        </is>
      </c>
      <c r="F17" s="107">
        <f>IF(AND(C17&lt;&gt;"",E17&lt;&gt;""),C17*E17,"")</f>
        <v/>
      </c>
      <c r="G17" s="39">
        <f>C17*E17</f>
        <v/>
      </c>
      <c r="H17" s="39">
        <f>IF(C17="","",IF(C17&lt;=G17,"🔴 REPOR JÁ",IF(C17&lt;=G17*1.5,"🟡 ATENÇÃO","🟢 OK")))</f>
        <v/>
      </c>
      <c r="I17" s="39">
        <f>IF(C17&lt;=G17,"🔴 REPOR JÁ",IF(C17&lt;=G17*1.5,"🟡 ATENÇÃO","🟢 OK"))</f>
        <v/>
      </c>
      <c r="J17" s="39" t="inlineStr"/>
      <c r="K17" s="39" t="inlineStr"/>
      <c r="L17" s="107">
        <f>IF(C17&gt;0,E17/C17,"")</f>
        <v/>
      </c>
      <c r="M17" s="1">
        <f>IF(C17&lt;&gt;"",IF(C17&lt;=G17,"⚠️ PEDIDO URGENTE",IF(C17&lt;=G17*1.5,"📦 Planejar Pedido","✅ Estoque OK")),"")</f>
        <v/>
      </c>
    </row>
    <row r="18" ht="18" customHeight="1">
      <c r="A18" s="1" t="n"/>
      <c r="B18" s="33" t="inlineStr">
        <is>
          <t>Papel Toalha</t>
        </is>
      </c>
      <c r="C18" s="33" t="inlineStr">
        <is>
          <t>Higiene</t>
        </is>
      </c>
      <c r="D18" s="33" t="n">
        <v>5</v>
      </c>
      <c r="E18" s="109" t="inlineStr">
        <is>
          <t>rolos</t>
        </is>
      </c>
      <c r="F18" s="109">
        <f>IF(AND(C18&lt;&gt;"",E18&lt;&gt;""),C18*E18,"")</f>
        <v/>
      </c>
      <c r="G18" s="33">
        <f>C18*E18</f>
        <v/>
      </c>
      <c r="H18" s="33">
        <f>IF(C18="","",IF(C18&lt;=G18,"🔴 REPOR JÁ",IF(C18&lt;=G18*1.5,"🟡 ATENÇÃO","🟢 OK")))</f>
        <v/>
      </c>
      <c r="I18" s="33">
        <f>IF(C18&lt;=G18,"🔴 REPOR JÁ",IF(C18&lt;=G18*1.5,"🟡 ATENÇÃO","🟢 OK"))</f>
        <v/>
      </c>
      <c r="J18" s="33" t="inlineStr"/>
      <c r="K18" s="33" t="inlineStr"/>
      <c r="L18" s="109">
        <f>IF(C18&gt;0,E18/C18,"")</f>
        <v/>
      </c>
      <c r="M18" s="1">
        <f>IF(C18&lt;&gt;"",IF(C18&lt;=G18,"⚠️ PEDIDO URGENTE",IF(C18&lt;=G18*1.5,"📦 Planejar Pedido","✅ Estoque OK")),"")</f>
        <v/>
      </c>
    </row>
    <row r="19" ht="18" customHeight="1">
      <c r="A19" s="1" t="n"/>
      <c r="B19" s="39" t="inlineStr">
        <is>
          <t>Papel Filme</t>
        </is>
      </c>
      <c r="C19" s="39" t="inlineStr">
        <is>
          <t>Consumível</t>
        </is>
      </c>
      <c r="D19" s="39" t="n">
        <v>3</v>
      </c>
      <c r="E19" s="107" t="inlineStr">
        <is>
          <t>rolos</t>
        </is>
      </c>
      <c r="F19" s="107">
        <f>IF(AND(C19&lt;&gt;"",E19&lt;&gt;""),C19*E19,"")</f>
        <v/>
      </c>
      <c r="G19" s="39">
        <f>C19*E19</f>
        <v/>
      </c>
      <c r="H19" s="39">
        <f>IF(C19="","",IF(C19&lt;=G19,"🔴 REPOR JÁ",IF(C19&lt;=G19*1.5,"🟡 ATENÇÃO","🟢 OK")))</f>
        <v/>
      </c>
      <c r="I19" s="39">
        <f>IF(C19&lt;=G19,"🔴 REPOR JÁ",IF(C19&lt;=G19*1.5,"🟡 ATENÇÃO","🟢 OK"))</f>
        <v/>
      </c>
      <c r="J19" s="39" t="inlineStr"/>
      <c r="K19" s="39" t="inlineStr"/>
      <c r="L19" s="107">
        <f>IF(C19&gt;0,E19/C19,"")</f>
        <v/>
      </c>
      <c r="M19" s="1">
        <f>IF(C19&lt;&gt;"",IF(C19&lt;=G19,"⚠️ PEDIDO URGENTE",IF(C19&lt;=G19*1.5,"📦 Planejar Pedido","✅ Estoque OK")),"")</f>
        <v/>
      </c>
    </row>
    <row r="20" ht="18" customHeight="1">
      <c r="A20" s="1" t="n"/>
      <c r="B20" s="33" t="inlineStr">
        <is>
          <t>Spray Clorexidina</t>
        </is>
      </c>
      <c r="C20" s="33" t="inlineStr">
        <is>
          <t>Higiene</t>
        </is>
      </c>
      <c r="D20" s="33" t="n">
        <v>4</v>
      </c>
      <c r="E20" s="109" t="inlineStr">
        <is>
          <t>frascos</t>
        </is>
      </c>
      <c r="F20" s="109">
        <f>IF(AND(C20&lt;&gt;"",E20&lt;&gt;""),C20*E20,"")</f>
        <v/>
      </c>
      <c r="G20" s="33">
        <f>C20*E20</f>
        <v/>
      </c>
      <c r="H20" s="33">
        <f>IF(C20="","",IF(C20&lt;=G20,"🔴 REPOR JÁ",IF(C20&lt;=G20*1.5,"🟡 ATENÇÃO","🟢 OK")))</f>
        <v/>
      </c>
      <c r="I20" s="33">
        <f>IF(C20&lt;=G20,"🔴 REPOR JÁ",IF(C20&lt;=G20*1.5,"🟡 ATENÇÃO","🟢 OK"))</f>
        <v/>
      </c>
      <c r="J20" s="33" t="inlineStr"/>
      <c r="K20" s="33" t="inlineStr"/>
      <c r="L20" s="109">
        <f>IF(C20&gt;0,E20/C20,"")</f>
        <v/>
      </c>
      <c r="M20" s="1">
        <f>IF(C20&lt;&gt;"",IF(C20&lt;=G20,"⚠️ PEDIDO URGENTE",IF(C20&lt;=G20*1.5,"📦 Planejar Pedido","✅ Estoque OK")),"")</f>
        <v/>
      </c>
    </row>
    <row r="21" ht="18" customHeight="1">
      <c r="A21" s="1" t="n"/>
      <c r="B21" s="39" t="inlineStr">
        <is>
          <t>Dermografo</t>
        </is>
      </c>
      <c r="C21" s="39" t="inlineStr">
        <is>
          <t>Equipamento</t>
        </is>
      </c>
      <c r="D21" s="39" t="n">
        <v>2</v>
      </c>
      <c r="E21" s="107" t="inlineStr">
        <is>
          <t>un</t>
        </is>
      </c>
      <c r="F21" s="107">
        <f>IF(AND(C21&lt;&gt;"",E21&lt;&gt;""),C21*E21,"")</f>
        <v/>
      </c>
      <c r="G21" s="39">
        <f>C21*E21</f>
        <v/>
      </c>
      <c r="H21" s="39">
        <f>IF(C21="","",IF(C21&lt;=G21,"🔴 REPOR JÁ",IF(C21&lt;=G21*1.5,"🟡 ATENÇÃO","🟢 OK")))</f>
        <v/>
      </c>
      <c r="I21" s="39">
        <f>IF(C21&lt;=G21,"🔴 REPOR JÁ",IF(C21&lt;=G21*1.5,"🟡 ATENÇÃO","🟢 OK"))</f>
        <v/>
      </c>
      <c r="J21" s="39" t="inlineStr"/>
      <c r="K21" s="39" t="inlineStr"/>
      <c r="L21" s="107">
        <f>IF(C21&gt;0,E21/C21,"")</f>
        <v/>
      </c>
      <c r="M21" s="1">
        <f>IF(C21&lt;&gt;"",IF(C21&lt;=G21,"⚠️ PEDIDO URGENTE",IF(C21&lt;=G21*1.5,"📦 Planejar Pedido","✅ Estoque OK")),"")</f>
        <v/>
      </c>
    </row>
    <row r="22" ht="18" customHeight="1">
      <c r="A22" s="1" t="n"/>
      <c r="B22" s="33" t="inlineStr">
        <is>
          <t>Cartucho Agulha Mista</t>
        </is>
      </c>
      <c r="C22" s="33" t="inlineStr">
        <is>
          <t>Agulhas</t>
        </is>
      </c>
      <c r="D22" s="33" t="n">
        <v>40</v>
      </c>
      <c r="E22" s="109" t="inlineStr">
        <is>
          <t>un</t>
        </is>
      </c>
      <c r="F22" s="109">
        <f>IF(AND(C22&lt;&gt;"",E22&lt;&gt;""),C22*E22,"")</f>
        <v/>
      </c>
      <c r="G22" s="33">
        <f>C22*E22</f>
        <v/>
      </c>
      <c r="H22" s="33">
        <f>IF(C22="","",IF(C22&lt;=G22,"🔴 REPOR JÁ",IF(C22&lt;=G22*1.5,"🟡 ATENÇÃO","🟢 OK")))</f>
        <v/>
      </c>
      <c r="I22" s="33">
        <f>IF(C22&lt;=G22,"🔴 REPOR JÁ",IF(C22&lt;=G22*1.5,"🟡 ATENÇÃO","🟢 OK"))</f>
        <v/>
      </c>
      <c r="J22" s="33" t="inlineStr"/>
      <c r="K22" s="33" t="inlineStr"/>
      <c r="L22" s="109">
        <f>IF(C22&gt;0,E22/C22,"")</f>
        <v/>
      </c>
      <c r="M22" s="1">
        <f>IF(C22&lt;&gt;"",IF(C22&lt;=G22,"⚠️ PEDIDO URGENTE",IF(C22&lt;=G22*1.5,"📦 Planejar Pedido","✅ Estoque OK")),"")</f>
        <v/>
      </c>
    </row>
    <row r="23" ht="18" customHeight="1">
      <c r="A23" s="1" t="n"/>
      <c r="B23" s="39" t="inlineStr">
        <is>
          <t>Green Soap</t>
        </is>
      </c>
      <c r="C23" s="39" t="inlineStr">
        <is>
          <t>Higiene</t>
        </is>
      </c>
      <c r="D23" s="39" t="n">
        <v>2</v>
      </c>
      <c r="E23" s="107" t="inlineStr">
        <is>
          <t>litros</t>
        </is>
      </c>
      <c r="F23" s="107">
        <f>IF(AND(C23&lt;&gt;"",E23&lt;&gt;""),C23*E23,"")</f>
        <v/>
      </c>
      <c r="G23" s="39">
        <f>C23*E23</f>
        <v/>
      </c>
      <c r="H23" s="39">
        <f>IF(C23="","",IF(C23&lt;=G23,"🔴 REPOR JÁ",IF(C23&lt;=G23*1.5,"🟡 ATENÇÃO","🟢 OK")))</f>
        <v/>
      </c>
      <c r="I23" s="39">
        <f>IF(C23&lt;=G23,"🔴 REPOR JÁ",IF(C23&lt;=G23*1.5,"🟡 ATENÇÃO","🟢 OK"))</f>
        <v/>
      </c>
      <c r="J23" s="39" t="inlineStr"/>
      <c r="K23" s="39" t="inlineStr"/>
      <c r="L23" s="107">
        <f>IF(C23&gt;0,E23/C23,"")</f>
        <v/>
      </c>
      <c r="M23" s="1">
        <f>IF(C23&lt;&gt;"",IF(C23&lt;=G23,"⚠️ PEDIDO URGENTE",IF(C23&lt;=G23*1.5,"📦 Planejar Pedido","✅ Estoque OK")),"")</f>
        <v/>
      </c>
    </row>
    <row r="24" ht="18" customHeight="1">
      <c r="A24" s="1" t="n"/>
      <c r="B24" s="33" t="inlineStr">
        <is>
          <t>Papel Hectográfico</t>
        </is>
      </c>
      <c r="C24" s="33" t="inlineStr">
        <is>
          <t>Consumível</t>
        </is>
      </c>
      <c r="D24" s="33" t="n">
        <v>100</v>
      </c>
      <c r="E24" s="109" t="inlineStr">
        <is>
          <t>folhas</t>
        </is>
      </c>
      <c r="F24" s="109">
        <f>IF(AND(C24&lt;&gt;"",E24&lt;&gt;""),C24*E24,"")</f>
        <v/>
      </c>
      <c r="G24" s="33">
        <f>C24*E24</f>
        <v/>
      </c>
      <c r="H24" s="33">
        <f>IF(C24="","",IF(C24&lt;=G24,"🔴 REPOR JÁ",IF(C24&lt;=G24*1.5,"🟡 ATENÇÃO","🟢 OK")))</f>
        <v/>
      </c>
      <c r="I24" s="33">
        <f>IF(C24&lt;=G24,"🔴 REPOR JÁ",IF(C24&lt;=G24*1.5,"🟡 ATENÇÃO","🟢 OK"))</f>
        <v/>
      </c>
      <c r="J24" s="33" t="inlineStr"/>
      <c r="K24" s="33" t="inlineStr"/>
      <c r="L24" s="109">
        <f>IF(C24&gt;0,E24/C24,"")</f>
        <v/>
      </c>
      <c r="M24" s="1">
        <f>IF(C24&lt;&gt;"",IF(C24&lt;=G24,"⚠️ PEDIDO URGENTE",IF(C24&lt;=G24*1.5,"📦 Planejar Pedido","✅ Estoque OK")),"")</f>
        <v/>
      </c>
    </row>
    <row r="25">
      <c r="A25" s="1" t="n"/>
      <c r="B25" s="1" t="n"/>
      <c r="C25" s="1" t="n"/>
      <c r="D25" s="1" t="n"/>
      <c r="E25" s="111" t="n"/>
      <c r="F25" s="111">
        <f>IF(AND(C25&lt;&gt;"",E25&lt;&gt;""),C25*E25,"")</f>
        <v/>
      </c>
      <c r="G25" s="1" t="n"/>
      <c r="H25" s="1">
        <f>IF(C25="","",IF(C25&lt;=G25,"🔴 REPOR JÁ",IF(C25&lt;=G25*1.5,"🟡 ATENÇÃO","🟢 OK")))</f>
        <v/>
      </c>
      <c r="I25" s="1" t="n"/>
      <c r="J25" s="1" t="n"/>
      <c r="K25" s="1" t="n"/>
      <c r="L25" s="111">
        <f>IF(C25&gt;0,E25/C25,"")</f>
        <v/>
      </c>
      <c r="M25" s="1">
        <f>IF(C25&lt;&gt;"",IF(C25&lt;=G25,"⚠️ PEDIDO URGENTE",IF(C25&lt;=G25*1.5,"📦 Planejar Pedido","✅ Estoque OK")),"")</f>
        <v/>
      </c>
    </row>
    <row r="26" ht="26" customHeight="1">
      <c r="A26" s="1" t="n"/>
      <c r="B26" s="44" t="inlineStr">
        <is>
          <t>VALOR TOTAL DO ESTOQUE</t>
        </is>
      </c>
      <c r="E26" s="116" t="n"/>
      <c r="F26" s="139">
        <f>IF(AND(C26&lt;&gt;"",E26&lt;&gt;""),C26*E26,"")</f>
        <v/>
      </c>
      <c r="G26" s="1" t="n"/>
      <c r="H26" s="1">
        <f>IF(C26="","",IF(C26&lt;=G26,"🔴 REPOR JÁ",IF(C26&lt;=G26*1.5,"🟡 ATENÇÃO","🟢 OK")))</f>
        <v/>
      </c>
      <c r="I26" s="1" t="n"/>
      <c r="J26" s="1" t="n"/>
      <c r="K26" s="1" t="n"/>
      <c r="L26" s="111">
        <f>IF(C26&gt;0,E26/C26,"")</f>
        <v/>
      </c>
      <c r="M26" s="1">
        <f>IF(C26&lt;&gt;"",IF(C26&lt;=G26,"⚠️ PEDIDO URGENTE",IF(C26&lt;=G26*1.5,"📦 Planejar Pedido","✅ Estoque OK")),"")</f>
        <v/>
      </c>
    </row>
    <row r="27">
      <c r="A27" s="1" t="n"/>
      <c r="B27" s="1" t="n"/>
      <c r="C27" s="1" t="n"/>
      <c r="D27" s="1" t="n"/>
      <c r="E27" s="111" t="n"/>
      <c r="F27" s="111">
        <f>IF(AND(C27&lt;&gt;"",E27&lt;&gt;""),C27*E27,"")</f>
        <v/>
      </c>
      <c r="G27" s="1" t="n"/>
      <c r="H27" s="1">
        <f>IF(C27="","",IF(C27&lt;=G27,"🔴 REPOR JÁ",IF(C27&lt;=G27*1.5,"🟡 ATENÇÃO","🟢 OK")))</f>
        <v/>
      </c>
      <c r="I27" s="1" t="n"/>
      <c r="J27" s="1" t="n"/>
      <c r="K27" s="1" t="n"/>
      <c r="L27" s="111">
        <f>IF(C27&gt;0,E27/C27,"")</f>
        <v/>
      </c>
      <c r="M27" s="1">
        <f>IF(C27&lt;&gt;"",IF(C27&lt;=G27,"⚠️ PEDIDO URGENTE",IF(C27&lt;=G27*1.5,"📦 Planejar Pedido","✅ Estoque OK")),"")</f>
        <v/>
      </c>
    </row>
    <row r="28">
      <c r="A28" s="1" t="n"/>
      <c r="B28" s="1" t="n"/>
      <c r="C28" s="1" t="n"/>
      <c r="D28" s="1" t="n"/>
      <c r="E28" s="111" t="n"/>
      <c r="F28" s="111">
        <f>IF(AND(C28&lt;&gt;"",E28&lt;&gt;""),C28*E28,"")</f>
        <v/>
      </c>
      <c r="G28" s="1" t="n"/>
      <c r="H28" s="1">
        <f>IF(C28="","",IF(C28&lt;=G28,"🔴 REPOR JÁ",IF(C28&lt;=G28*1.5,"🟡 ATENÇÃO","🟢 OK")))</f>
        <v/>
      </c>
      <c r="I28" s="1" t="n"/>
      <c r="J28" s="1" t="n"/>
      <c r="K28" s="1" t="n"/>
      <c r="L28" s="111">
        <f>IF(C28&gt;0,E28/C28,"")</f>
        <v/>
      </c>
      <c r="M28" s="1">
        <f>IF(C28&lt;&gt;"",IF(C28&lt;=G28,"⚠️ PEDIDO URGENTE",IF(C28&lt;=G28*1.5,"📦 Planejar Pedido","✅ Estoque OK")),"")</f>
        <v/>
      </c>
    </row>
    <row r="29">
      <c r="A29" s="1" t="n"/>
      <c r="B29" s="1" t="n"/>
      <c r="C29" s="1" t="n"/>
      <c r="D29" s="1" t="n"/>
      <c r="E29" s="111" t="n"/>
      <c r="F29" s="111">
        <f>IF(AND(C29&lt;&gt;"",E29&lt;&gt;""),C29*E29,"")</f>
        <v/>
      </c>
      <c r="G29" s="1" t="n"/>
      <c r="H29" s="1">
        <f>IF(C29="","",IF(C29&lt;=G29,"🔴 REPOR JÁ",IF(C29&lt;=G29*1.5,"🟡 ATENÇÃO","🟢 OK")))</f>
        <v/>
      </c>
      <c r="I29" s="1" t="n"/>
      <c r="J29" s="1" t="n"/>
      <c r="K29" s="1" t="n"/>
      <c r="L29" s="111">
        <f>IF(C29&gt;0,E29/C29,"")</f>
        <v/>
      </c>
      <c r="M29" s="1">
        <f>IF(C29&lt;&gt;"",IF(C29&lt;=G29,"⚠️ PEDIDO URGENTE",IF(C29&lt;=G29*1.5,"📦 Planejar Pedido","✅ Estoque OK")),"")</f>
        <v/>
      </c>
    </row>
    <row r="30">
      <c r="A30" s="1" t="n"/>
      <c r="B30" s="1" t="n"/>
      <c r="C30" s="1" t="n"/>
      <c r="D30" s="1" t="n"/>
      <c r="E30" s="111" t="n"/>
      <c r="F30" s="111">
        <f>IF(AND(C30&lt;&gt;"",E30&lt;&gt;""),C30*E30,"")</f>
        <v/>
      </c>
      <c r="G30" s="1" t="n"/>
      <c r="H30" s="1">
        <f>IF(C30="","",IF(C30&lt;=G30,"🔴 REPOR JÁ",IF(C30&lt;=G30*1.5,"🟡 ATENÇÃO","🟢 OK")))</f>
        <v/>
      </c>
      <c r="I30" s="1" t="n"/>
      <c r="J30" s="1" t="n"/>
      <c r="K30" s="1" t="n"/>
      <c r="L30" s="111">
        <f>IF(C30&gt;0,E30/C30,"")</f>
        <v/>
      </c>
      <c r="M30" s="1">
        <f>IF(C30&lt;&gt;"",IF(C30&lt;=G30,"⚠️ PEDIDO URGENTE",IF(C30&lt;=G30*1.5,"📦 Planejar Pedido","✅ Estoque OK")),"")</f>
        <v/>
      </c>
    </row>
    <row r="31">
      <c r="A31" s="1" t="n"/>
      <c r="B31" s="1" t="n"/>
      <c r="C31" s="1" t="n"/>
      <c r="D31" s="1" t="n"/>
      <c r="E31" s="111" t="n"/>
      <c r="F31" s="111">
        <f>IF(AND(C31&lt;&gt;"",E31&lt;&gt;""),C31*E31,"")</f>
        <v/>
      </c>
      <c r="G31" s="1" t="n"/>
      <c r="H31" s="1">
        <f>IF(C31="","",IF(C31&lt;=G31,"🔴 REPOR JÁ",IF(C31&lt;=G31*1.5,"🟡 ATENÇÃO","🟢 OK")))</f>
        <v/>
      </c>
      <c r="I31" s="1" t="n"/>
      <c r="J31" s="1" t="n"/>
      <c r="K31" s="1" t="n"/>
      <c r="L31" s="111">
        <f>IF(C31&gt;0,E31/C31,"")</f>
        <v/>
      </c>
      <c r="M31" s="1">
        <f>IF(C31&lt;&gt;"",IF(C31&lt;=G31,"⚠️ PEDIDO URGENTE",IF(C31&lt;=G31*1.5,"📦 Planejar Pedido","✅ Estoque OK")),"")</f>
        <v/>
      </c>
    </row>
    <row r="32">
      <c r="A32" s="1" t="n"/>
      <c r="B32" s="1" t="n"/>
      <c r="C32" s="1" t="n"/>
      <c r="D32" s="1" t="n"/>
      <c r="E32" s="111" t="n"/>
      <c r="F32" s="111">
        <f>IF(AND(C32&lt;&gt;"",E32&lt;&gt;""),C32*E32,"")</f>
        <v/>
      </c>
      <c r="G32" s="1" t="n"/>
      <c r="H32" s="1">
        <f>IF(C32="","",IF(C32&lt;=G32,"🔴 REPOR JÁ",IF(C32&lt;=G32*1.5,"🟡 ATENÇÃO","🟢 OK")))</f>
        <v/>
      </c>
      <c r="I32" s="1" t="n"/>
      <c r="J32" s="1" t="n"/>
      <c r="K32" s="1" t="n"/>
      <c r="L32" s="111">
        <f>IF(C32&gt;0,E32/C32,"")</f>
        <v/>
      </c>
      <c r="M32" s="1">
        <f>IF(C32&lt;&gt;"",IF(C32&lt;=G32,"⚠️ PEDIDO URGENTE",IF(C32&lt;=G32*1.5,"📦 Planejar Pedido","✅ Estoque OK")),"")</f>
        <v/>
      </c>
    </row>
    <row r="33">
      <c r="A33" s="1" t="n"/>
      <c r="B33" s="1" t="n"/>
      <c r="C33" s="1" t="n"/>
      <c r="D33" s="1" t="n"/>
      <c r="E33" s="111" t="n"/>
      <c r="F33" s="111">
        <f>IF(AND(C33&lt;&gt;"",E33&lt;&gt;""),C33*E33,"")</f>
        <v/>
      </c>
      <c r="G33" s="1" t="n"/>
      <c r="H33" s="1">
        <f>IF(C33="","",IF(C33&lt;=G33,"🔴 REPOR JÁ",IF(C33&lt;=G33*1.5,"🟡 ATENÇÃO","🟢 OK")))</f>
        <v/>
      </c>
      <c r="I33" s="1" t="n"/>
      <c r="J33" s="1" t="n"/>
      <c r="K33" s="1" t="n"/>
      <c r="L33" s="111">
        <f>IF(C33&gt;0,E33/C33,"")</f>
        <v/>
      </c>
      <c r="M33" s="1">
        <f>IF(C33&lt;&gt;"",IF(C33&lt;=G33,"⚠️ PEDIDO URGENTE",IF(C33&lt;=G33*1.5,"📦 Planejar Pedido","✅ Estoque OK")),"")</f>
        <v/>
      </c>
    </row>
    <row r="34">
      <c r="A34" s="1" t="n"/>
      <c r="B34" s="1" t="n"/>
      <c r="C34" s="1" t="n"/>
      <c r="D34" s="1" t="n"/>
      <c r="E34" s="111" t="n"/>
      <c r="F34" s="111">
        <f>IF(AND(C34&lt;&gt;"",E34&lt;&gt;""),C34*E34,"")</f>
        <v/>
      </c>
      <c r="G34" s="1" t="n"/>
      <c r="H34" s="1">
        <f>IF(C34="","",IF(C34&lt;=G34,"🔴 REPOR JÁ",IF(C34&lt;=G34*1.5,"🟡 ATENÇÃO","🟢 OK")))</f>
        <v/>
      </c>
      <c r="I34" s="1" t="n"/>
      <c r="J34" s="1" t="n"/>
      <c r="K34" s="1" t="n"/>
      <c r="L34" s="111">
        <f>IF(C34&gt;0,E34/C34,"")</f>
        <v/>
      </c>
      <c r="M34" s="1">
        <f>IF(C34&lt;&gt;"",IF(C34&lt;=G34,"⚠️ PEDIDO URGENTE",IF(C34&lt;=G34*1.5,"📦 Planejar Pedido","✅ Estoque OK")),"")</f>
        <v/>
      </c>
    </row>
    <row r="35">
      <c r="A35" s="1" t="n"/>
      <c r="B35" s="1" t="n"/>
      <c r="C35" s="1" t="n"/>
      <c r="D35" s="1" t="n"/>
      <c r="E35" s="111" t="n"/>
      <c r="F35" s="111">
        <f>IF(AND(C35&lt;&gt;"",E35&lt;&gt;""),C35*E35,"")</f>
        <v/>
      </c>
      <c r="G35" s="1" t="n"/>
      <c r="H35" s="1">
        <f>IF(C35="","",IF(C35&lt;=G35,"🔴 REPOR JÁ",IF(C35&lt;=G35*1.5,"🟡 ATENÇÃO","🟢 OK")))</f>
        <v/>
      </c>
      <c r="I35" s="1" t="n"/>
      <c r="J35" s="1" t="n"/>
      <c r="K35" s="1" t="n"/>
      <c r="L35" s="111">
        <f>IF(C35&gt;0,E35/C35,"")</f>
        <v/>
      </c>
      <c r="M35" s="1">
        <f>IF(C35&lt;&gt;"",IF(C35&lt;=G35,"⚠️ PEDIDO URGENTE",IF(C35&lt;=G35*1.5,"📦 Planejar Pedido","✅ Estoque OK")),"")</f>
        <v/>
      </c>
    </row>
    <row r="36">
      <c r="A36" s="1" t="n"/>
      <c r="B36" s="1" t="n"/>
      <c r="C36" s="1" t="n"/>
      <c r="D36" s="1" t="n"/>
      <c r="E36" s="111" t="n"/>
      <c r="F36" s="111">
        <f>IF(AND(C36&lt;&gt;"",E36&lt;&gt;""),C36*E36,"")</f>
        <v/>
      </c>
      <c r="G36" s="1" t="n"/>
      <c r="H36" s="1">
        <f>IF(C36="","",IF(C36&lt;=G36,"🔴 REPOR JÁ",IF(C36&lt;=G36*1.5,"🟡 ATENÇÃO","🟢 OK")))</f>
        <v/>
      </c>
      <c r="I36" s="1" t="n"/>
      <c r="J36" s="1" t="n"/>
      <c r="K36" s="1" t="n"/>
      <c r="L36" s="111">
        <f>IF(C36&gt;0,E36/C36,"")</f>
        <v/>
      </c>
      <c r="M36" s="1">
        <f>IF(C36&lt;&gt;"",IF(C36&lt;=G36,"⚠️ PEDIDO URGENTE",IF(C36&lt;=G36*1.5,"📦 Planejar Pedido","✅ Estoque OK")),"")</f>
        <v/>
      </c>
    </row>
    <row r="37">
      <c r="A37" s="1" t="n"/>
      <c r="B37" s="1" t="n"/>
      <c r="C37" s="1" t="n"/>
      <c r="D37" s="1" t="n"/>
      <c r="E37" s="111" t="n"/>
      <c r="F37" s="111">
        <f>IF(AND(C37&lt;&gt;"",E37&lt;&gt;""),C37*E37,"")</f>
        <v/>
      </c>
      <c r="G37" s="1" t="n"/>
      <c r="H37" s="1">
        <f>IF(C37="","",IF(C37&lt;=G37,"🔴 REPOR JÁ",IF(C37&lt;=G37*1.5,"🟡 ATENÇÃO","🟢 OK")))</f>
        <v/>
      </c>
      <c r="I37" s="1" t="n"/>
      <c r="J37" s="1" t="n"/>
      <c r="K37" s="1" t="n"/>
      <c r="L37" s="111">
        <f>IF(C37&gt;0,E37/C37,"")</f>
        <v/>
      </c>
      <c r="M37" s="1">
        <f>IF(C37&lt;&gt;"",IF(C37&lt;=G37,"⚠️ PEDIDO URGENTE",IF(C37&lt;=G37*1.5,"📦 Planejar Pedido","✅ Estoque OK")),"")</f>
        <v/>
      </c>
    </row>
    <row r="38">
      <c r="A38" s="1" t="n"/>
      <c r="B38" s="1" t="n"/>
      <c r="C38" s="1" t="n"/>
      <c r="D38" s="1" t="n"/>
      <c r="E38" s="111" t="n"/>
      <c r="F38" s="111">
        <f>IF(AND(C38&lt;&gt;"",E38&lt;&gt;""),C38*E38,"")</f>
        <v/>
      </c>
      <c r="G38" s="1" t="n"/>
      <c r="H38" s="1">
        <f>IF(C38="","",IF(C38&lt;=G38,"🔴 REPOR JÁ",IF(C38&lt;=G38*1.5,"🟡 ATENÇÃO","🟢 OK")))</f>
        <v/>
      </c>
      <c r="I38" s="1" t="n"/>
      <c r="J38" s="1" t="n"/>
      <c r="K38" s="1" t="n"/>
      <c r="L38" s="111">
        <f>IF(C38&gt;0,E38/C38,"")</f>
        <v/>
      </c>
      <c r="M38" s="1">
        <f>IF(C38&lt;&gt;"",IF(C38&lt;=G38,"⚠️ PEDIDO URGENTE",IF(C38&lt;=G38*1.5,"📦 Planejar Pedido","✅ Estoque OK")),"")</f>
        <v/>
      </c>
    </row>
    <row r="39">
      <c r="A39" s="1" t="n"/>
      <c r="B39" s="1" t="n"/>
      <c r="C39" s="1" t="n"/>
      <c r="D39" s="1" t="n"/>
      <c r="E39" s="111" t="n"/>
      <c r="F39" s="111">
        <f>IF(AND(C39&lt;&gt;"",E39&lt;&gt;""),C39*E39,"")</f>
        <v/>
      </c>
      <c r="G39" s="1" t="n"/>
      <c r="H39" s="1">
        <f>IF(C39="","",IF(C39&lt;=G39,"🔴 REPOR JÁ",IF(C39&lt;=G39*1.5,"🟡 ATENÇÃO","🟢 OK")))</f>
        <v/>
      </c>
      <c r="I39" s="1" t="n"/>
      <c r="J39" s="1" t="n"/>
      <c r="K39" s="1" t="n"/>
      <c r="L39" s="111">
        <f>IF(C39&gt;0,E39/C39,"")</f>
        <v/>
      </c>
      <c r="M39" s="1">
        <f>IF(C39&lt;&gt;"",IF(C39&lt;=G39,"⚠️ PEDIDO URGENTE",IF(C39&lt;=G39*1.5,"📦 Planejar Pedido","✅ Estoque OK")),"")</f>
        <v/>
      </c>
    </row>
    <row r="40">
      <c r="A40" s="1" t="n"/>
      <c r="B40" s="1" t="n"/>
      <c r="C40" s="1" t="n"/>
      <c r="D40" s="1" t="n"/>
      <c r="E40" s="111" t="n"/>
      <c r="F40" s="111">
        <f>IF(AND(C40&lt;&gt;"",E40&lt;&gt;""),C40*E40,"")</f>
        <v/>
      </c>
      <c r="G40" s="1" t="n"/>
      <c r="H40" s="1">
        <f>IF(C40="","",IF(C40&lt;=G40,"🔴 REPOR JÁ",IF(C40&lt;=G40*1.5,"🟡 ATENÇÃO","🟢 OK")))</f>
        <v/>
      </c>
      <c r="I40" s="1" t="n"/>
      <c r="J40" s="1" t="n"/>
      <c r="K40" s="1" t="n"/>
      <c r="L40" s="111">
        <f>IF(C40&gt;0,E40/C40,"")</f>
        <v/>
      </c>
      <c r="M40" s="1">
        <f>IF(C40&lt;&gt;"",IF(C40&lt;=G40,"⚠️ PEDIDO URGENTE",IF(C40&lt;=G40*1.5,"📦 Planejar Pedido","✅ Estoque OK")),"")</f>
        <v/>
      </c>
    </row>
    <row r="41">
      <c r="A41" s="1" t="n"/>
      <c r="B41" s="1" t="n"/>
      <c r="C41" s="1" t="n"/>
      <c r="D41" s="1" t="n"/>
      <c r="E41" s="111" t="n"/>
      <c r="F41" s="111">
        <f>IF(AND(C41&lt;&gt;"",E41&lt;&gt;""),C41*E41,"")</f>
        <v/>
      </c>
      <c r="G41" s="1" t="n"/>
      <c r="H41" s="1">
        <f>IF(C41="","",IF(C41&lt;=G41,"🔴 REPOR JÁ",IF(C41&lt;=G41*1.5,"🟡 ATENÇÃO","🟢 OK")))</f>
        <v/>
      </c>
      <c r="I41" s="1" t="n"/>
      <c r="J41" s="1" t="n"/>
      <c r="K41" s="1" t="n"/>
      <c r="L41" s="111">
        <f>IF(C41&gt;0,E41/C41,"")</f>
        <v/>
      </c>
      <c r="M41" s="1">
        <f>IF(C41&lt;&gt;"",IF(C41&lt;=G41,"⚠️ PEDIDO URGENTE",IF(C41&lt;=G41*1.5,"📦 Planejar Pedido","✅ Estoque OK")),"")</f>
        <v/>
      </c>
    </row>
    <row r="42">
      <c r="A42" s="1" t="n"/>
      <c r="B42" s="1" t="n"/>
      <c r="C42" s="1" t="n"/>
      <c r="D42" s="1" t="n"/>
      <c r="E42" s="111" t="n"/>
      <c r="F42" s="111">
        <f>IF(AND(C42&lt;&gt;"",E42&lt;&gt;""),C42*E42,"")</f>
        <v/>
      </c>
      <c r="G42" s="1" t="n"/>
      <c r="H42" s="1">
        <f>IF(C42="","",IF(C42&lt;=G42,"🔴 REPOR JÁ",IF(C42&lt;=G42*1.5,"🟡 ATENÇÃO","🟢 OK")))</f>
        <v/>
      </c>
      <c r="I42" s="1" t="n"/>
      <c r="J42" s="1" t="n"/>
      <c r="K42" s="1" t="n"/>
      <c r="L42" s="111">
        <f>IF(C42&gt;0,E42/C42,"")</f>
        <v/>
      </c>
      <c r="M42" s="1">
        <f>IF(C42&lt;&gt;"",IF(C42&lt;=G42,"⚠️ PEDIDO URGENTE",IF(C42&lt;=G42*1.5,"📦 Planejar Pedido","✅ Estoque OK")),"")</f>
        <v/>
      </c>
    </row>
    <row r="43">
      <c r="A43" s="1" t="n"/>
      <c r="B43" s="1" t="n"/>
      <c r="C43" s="1" t="n"/>
      <c r="D43" s="1" t="n"/>
      <c r="E43" s="111" t="n"/>
      <c r="F43" s="111">
        <f>IF(AND(C43&lt;&gt;"",E43&lt;&gt;""),C43*E43,"")</f>
        <v/>
      </c>
      <c r="G43" s="1" t="n"/>
      <c r="H43" s="1">
        <f>IF(C43="","",IF(C43&lt;=G43,"🔴 REPOR JÁ",IF(C43&lt;=G43*1.5,"🟡 ATENÇÃO","🟢 OK")))</f>
        <v/>
      </c>
      <c r="I43" s="1" t="n"/>
      <c r="J43" s="1" t="n"/>
      <c r="K43" s="1" t="n"/>
      <c r="L43" s="111">
        <f>IF(C43&gt;0,E43/C43,"")</f>
        <v/>
      </c>
      <c r="M43" s="1">
        <f>IF(C43&lt;&gt;"",IF(C43&lt;=G43,"⚠️ PEDIDO URGENTE",IF(C43&lt;=G43*1.5,"📦 Planejar Pedido","✅ Estoque OK")),"")</f>
        <v/>
      </c>
    </row>
    <row r="44">
      <c r="A44" s="1" t="n"/>
      <c r="B44" s="1" t="n"/>
      <c r="C44" s="1" t="n"/>
      <c r="D44" s="1" t="n"/>
      <c r="E44" s="111" t="n"/>
      <c r="F44" s="111">
        <f>IF(AND(C44&lt;&gt;"",E44&lt;&gt;""),C44*E44,"")</f>
        <v/>
      </c>
      <c r="G44" s="1" t="n"/>
      <c r="H44" s="1">
        <f>IF(C44="","",IF(C44&lt;=G44,"🔴 REPOR JÁ",IF(C44&lt;=G44*1.5,"🟡 ATENÇÃO","🟢 OK")))</f>
        <v/>
      </c>
      <c r="I44" s="1" t="n"/>
      <c r="J44" s="1" t="n"/>
      <c r="K44" s="1" t="n"/>
      <c r="L44" s="111">
        <f>IF(C44&gt;0,E44/C44,"")</f>
        <v/>
      </c>
      <c r="M44" s="1">
        <f>IF(C44&lt;&gt;"",IF(C44&lt;=G44,"⚠️ PEDIDO URGENTE",IF(C44&lt;=G44*1.5,"📦 Planejar Pedido","✅ Estoque OK")),"")</f>
        <v/>
      </c>
    </row>
    <row r="45">
      <c r="A45" s="1" t="n"/>
      <c r="B45" s="1" t="n"/>
      <c r="C45" s="1" t="n"/>
      <c r="D45" s="1" t="n"/>
      <c r="E45" s="111" t="n"/>
      <c r="F45" s="111">
        <f>IF(AND(C45&lt;&gt;"",E45&lt;&gt;""),C45*E45,"")</f>
        <v/>
      </c>
      <c r="G45" s="1" t="n"/>
      <c r="H45" s="1">
        <f>IF(C45="","",IF(C45&lt;=G45,"🔴 REPOR JÁ",IF(C45&lt;=G45*1.5,"🟡 ATENÇÃO","🟢 OK")))</f>
        <v/>
      </c>
      <c r="I45" s="1" t="n"/>
      <c r="J45" s="1" t="n"/>
      <c r="K45" s="1" t="n"/>
      <c r="L45" s="111">
        <f>IF(C45&gt;0,E45/C45,"")</f>
        <v/>
      </c>
      <c r="M45" s="1">
        <f>IF(C45&lt;&gt;"",IF(C45&lt;=G45,"⚠️ PEDIDO URGENTE",IF(C45&lt;=G45*1.5,"📦 Planejar Pedido","✅ Estoque OK")),"")</f>
        <v/>
      </c>
    </row>
    <row r="46">
      <c r="A46" s="1" t="n"/>
      <c r="B46" s="1" t="n"/>
      <c r="C46" s="1" t="n"/>
      <c r="D46" s="1" t="n"/>
      <c r="E46" s="111" t="n"/>
      <c r="F46" s="111">
        <f>IF(AND(C46&lt;&gt;"",E46&lt;&gt;""),C46*E46,"")</f>
        <v/>
      </c>
      <c r="G46" s="1" t="n"/>
      <c r="H46" s="1">
        <f>IF(C46="","",IF(C46&lt;=G46,"🔴 REPOR JÁ",IF(C46&lt;=G46*1.5,"🟡 ATENÇÃO","🟢 OK")))</f>
        <v/>
      </c>
      <c r="I46" s="1" t="n"/>
      <c r="J46" s="1" t="n"/>
      <c r="K46" s="1" t="n"/>
      <c r="L46" s="111">
        <f>IF(C46&gt;0,E46/C46,"")</f>
        <v/>
      </c>
      <c r="M46" s="1">
        <f>IF(C46&lt;&gt;"",IF(C46&lt;=G46,"⚠️ PEDIDO URGENTE",IF(C46&lt;=G46*1.5,"📦 Planejar Pedido","✅ Estoque OK")),"")</f>
        <v/>
      </c>
    </row>
    <row r="47">
      <c r="A47" s="1" t="n"/>
      <c r="B47" s="1" t="n"/>
      <c r="C47" s="1" t="n"/>
      <c r="D47" s="1" t="n"/>
      <c r="E47" s="111" t="n"/>
      <c r="F47" s="111">
        <f>IF(AND(C47&lt;&gt;"",E47&lt;&gt;""),C47*E47,"")</f>
        <v/>
      </c>
      <c r="G47" s="1" t="n"/>
      <c r="H47" s="1">
        <f>IF(C47="","",IF(C47&lt;=G47,"🔴 REPOR JÁ",IF(C47&lt;=G47*1.5,"🟡 ATENÇÃO","🟢 OK")))</f>
        <v/>
      </c>
      <c r="I47" s="1" t="n"/>
      <c r="J47" s="1" t="n"/>
      <c r="K47" s="1" t="n"/>
      <c r="L47" s="111">
        <f>IF(C47&gt;0,E47/C47,"")</f>
        <v/>
      </c>
      <c r="M47" s="1">
        <f>IF(C47&lt;&gt;"",IF(C47&lt;=G47,"⚠️ PEDIDO URGENTE",IF(C47&lt;=G47*1.5,"📦 Planejar Pedido","✅ Estoque OK")),"")</f>
        <v/>
      </c>
    </row>
    <row r="48">
      <c r="A48" s="1" t="n"/>
      <c r="B48" s="1" t="n"/>
      <c r="C48" s="1" t="n"/>
      <c r="D48" s="1" t="n"/>
      <c r="E48" s="111" t="n"/>
      <c r="F48" s="111">
        <f>IF(AND(C48&lt;&gt;"",E48&lt;&gt;""),C48*E48,"")</f>
        <v/>
      </c>
      <c r="G48" s="1" t="n"/>
      <c r="H48" s="1">
        <f>IF(C48="","",IF(C48&lt;=G48,"🔴 REPOR JÁ",IF(C48&lt;=G48*1.5,"🟡 ATENÇÃO","🟢 OK")))</f>
        <v/>
      </c>
      <c r="I48" s="1" t="n"/>
      <c r="J48" s="1" t="n"/>
      <c r="K48" s="1" t="n"/>
      <c r="L48" s="111">
        <f>IF(C48&gt;0,E48/C48,"")</f>
        <v/>
      </c>
      <c r="M48" s="1">
        <f>IF(C48&lt;&gt;"",IF(C48&lt;=G48,"⚠️ PEDIDO URGENTE",IF(C48&lt;=G48*1.5,"📦 Planejar Pedido","✅ Estoque OK")),"")</f>
        <v/>
      </c>
    </row>
    <row r="49">
      <c r="A49" s="1" t="n"/>
      <c r="B49" s="1" t="n"/>
      <c r="C49" s="1" t="n"/>
      <c r="D49" s="1" t="n"/>
      <c r="E49" s="111" t="n"/>
      <c r="F49" s="111">
        <f>IF(AND(C49&lt;&gt;"",E49&lt;&gt;""),C49*E49,"")</f>
        <v/>
      </c>
      <c r="G49" s="1" t="n"/>
      <c r="H49" s="1">
        <f>IF(C49="","",IF(C49&lt;=G49,"🔴 REPOR JÁ",IF(C49&lt;=G49*1.5,"🟡 ATENÇÃO","🟢 OK")))</f>
        <v/>
      </c>
      <c r="I49" s="1" t="n"/>
      <c r="J49" s="1" t="n"/>
      <c r="K49" s="1" t="n"/>
      <c r="L49" s="111">
        <f>IF(C49&gt;0,E49/C49,"")</f>
        <v/>
      </c>
      <c r="M49" s="1">
        <f>IF(C49&lt;&gt;"",IF(C49&lt;=G49,"⚠️ PEDIDO URGENTE",IF(C49&lt;=G49*1.5,"📦 Planejar Pedido","✅ Estoque OK")),"")</f>
        <v/>
      </c>
    </row>
    <row r="50">
      <c r="A50" s="1" t="n"/>
      <c r="B50" s="1" t="n"/>
      <c r="C50" s="1" t="n"/>
      <c r="D50" s="1" t="n"/>
      <c r="E50" s="111" t="n"/>
      <c r="F50" s="111">
        <f>IF(AND(C50&lt;&gt;"",E50&lt;&gt;""),C50*E50,"")</f>
        <v/>
      </c>
      <c r="G50" s="1" t="n"/>
      <c r="H50" s="1">
        <f>IF(C50="","",IF(C50&lt;=G50,"🔴 REPOR JÁ",IF(C50&lt;=G50*1.5,"🟡 ATENÇÃO","🟢 OK")))</f>
        <v/>
      </c>
      <c r="I50" s="1" t="n"/>
      <c r="J50" s="1" t="n"/>
      <c r="K50" s="1" t="n"/>
      <c r="L50" s="111">
        <f>IF(C50&gt;0,E50/C50,"")</f>
        <v/>
      </c>
      <c r="M50" s="1">
        <f>IF(C50&lt;&gt;"",IF(C50&lt;=G50,"⚠️ PEDIDO URGENTE",IF(C50&lt;=G50*1.5,"📦 Planejar Pedido","✅ Estoque OK")),"")</f>
        <v/>
      </c>
    </row>
    <row r="51">
      <c r="A51" s="1" t="n"/>
      <c r="B51" s="1" t="n"/>
      <c r="C51" s="1" t="n"/>
      <c r="D51" s="1" t="n"/>
      <c r="E51" s="111" t="n"/>
      <c r="F51" s="111">
        <f>IF(AND(C51&lt;&gt;"",E51&lt;&gt;""),C51*E51,"")</f>
        <v/>
      </c>
      <c r="G51" s="1" t="n"/>
      <c r="H51" s="1">
        <f>IF(C51="","",IF(C51&lt;=G51,"🔴 REPOR JÁ",IF(C51&lt;=G51*1.5,"🟡 ATENÇÃO","🟢 OK")))</f>
        <v/>
      </c>
      <c r="I51" s="1" t="n"/>
      <c r="J51" s="1" t="n"/>
      <c r="K51" s="1" t="n"/>
      <c r="L51" s="111">
        <f>IF(C51&gt;0,E51/C51,"")</f>
        <v/>
      </c>
      <c r="M51" s="1">
        <f>IF(C51&lt;&gt;"",IF(C51&lt;=G51,"⚠️ PEDIDO URGENTE",IF(C51&lt;=G51*1.5,"📦 Planejar Pedido","✅ Estoque OK")),"")</f>
        <v/>
      </c>
    </row>
    <row r="52">
      <c r="A52" s="1" t="n"/>
      <c r="B52" s="1" t="n"/>
      <c r="C52" s="1" t="n"/>
      <c r="D52" s="1" t="n"/>
      <c r="E52" s="111" t="n"/>
      <c r="F52" s="111">
        <f>IF(AND(C52&lt;&gt;"",E52&lt;&gt;""),C52*E52,"")</f>
        <v/>
      </c>
      <c r="G52" s="1" t="n"/>
      <c r="H52" s="1">
        <f>IF(C52="","",IF(C52&lt;=G52,"🔴 REPOR JÁ",IF(C52&lt;=G52*1.5,"🟡 ATENÇÃO","🟢 OK")))</f>
        <v/>
      </c>
      <c r="I52" s="1" t="n"/>
      <c r="J52" s="1" t="n"/>
      <c r="K52" s="1" t="n"/>
      <c r="L52" s="111">
        <f>IF(C52&gt;0,E52/C52,"")</f>
        <v/>
      </c>
      <c r="M52" s="1">
        <f>IF(C52&lt;&gt;"",IF(C52&lt;=G52,"⚠️ PEDIDO URGENTE",IF(C52&lt;=G52*1.5,"📦 Planejar Pedido","✅ Estoque OK")),"")</f>
        <v/>
      </c>
    </row>
    <row r="53">
      <c r="A53" s="1" t="n"/>
      <c r="B53" s="1" t="n"/>
      <c r="C53" s="1" t="n"/>
      <c r="D53" s="1" t="n"/>
      <c r="E53" s="111" t="n"/>
      <c r="F53" s="111">
        <f>IF(AND(C53&lt;&gt;"",E53&lt;&gt;""),C53*E53,"")</f>
        <v/>
      </c>
      <c r="G53" s="1" t="n"/>
      <c r="H53" s="1">
        <f>IF(C53="","",IF(C53&lt;=G53,"🔴 REPOR JÁ",IF(C53&lt;=G53*1.5,"🟡 ATENÇÃO","🟢 OK")))</f>
        <v/>
      </c>
      <c r="I53" s="1" t="n"/>
      <c r="J53" s="1" t="n"/>
      <c r="K53" s="1" t="n"/>
      <c r="L53" s="111">
        <f>IF(C53&gt;0,E53/C53,"")</f>
        <v/>
      </c>
      <c r="M53" s="1">
        <f>IF(C53&lt;&gt;"",IF(C53&lt;=G53,"⚠️ PEDIDO URGENTE",IF(C53&lt;=G53*1.5,"📦 Planejar Pedido","✅ Estoque OK")),"")</f>
        <v/>
      </c>
    </row>
    <row r="54">
      <c r="A54" s="1" t="n"/>
      <c r="B54" s="1" t="n"/>
      <c r="C54" s="1" t="n"/>
      <c r="D54" s="1" t="n"/>
      <c r="E54" s="111" t="n"/>
      <c r="F54" s="111">
        <f>IF(AND(C54&lt;&gt;"",E54&lt;&gt;""),C54*E54,"")</f>
        <v/>
      </c>
      <c r="G54" s="1" t="n"/>
      <c r="H54" s="1">
        <f>IF(C54="","",IF(C54&lt;=G54,"🔴 REPOR JÁ",IF(C54&lt;=G54*1.5,"🟡 ATENÇÃO","🟢 OK")))</f>
        <v/>
      </c>
      <c r="I54" s="1" t="n"/>
      <c r="J54" s="1" t="n"/>
      <c r="K54" s="1" t="n"/>
      <c r="L54" s="111">
        <f>IF(C54&gt;0,E54/C54,"")</f>
        <v/>
      </c>
      <c r="M54" s="1">
        <f>IF(C54&lt;&gt;"",IF(C54&lt;=G54,"⚠️ PEDIDO URGENTE",IF(C54&lt;=G54*1.5,"📦 Planejar Pedido","✅ Estoque OK")),"")</f>
        <v/>
      </c>
    </row>
    <row r="55">
      <c r="A55" s="1" t="n"/>
      <c r="B55" s="1" t="n"/>
      <c r="C55" s="1" t="n"/>
      <c r="D55" s="1" t="n"/>
      <c r="E55" s="111" t="n"/>
      <c r="F55" s="111">
        <f>IF(AND(C55&lt;&gt;"",E55&lt;&gt;""),C55*E55,"")</f>
        <v/>
      </c>
      <c r="G55" s="1" t="n"/>
      <c r="H55" s="1">
        <f>IF(C55="","",IF(C55&lt;=G55,"🔴 REPOR JÁ",IF(C55&lt;=G55*1.5,"🟡 ATENÇÃO","🟢 OK")))</f>
        <v/>
      </c>
      <c r="I55" s="1" t="n"/>
      <c r="J55" s="1" t="n"/>
      <c r="K55" s="1" t="n"/>
      <c r="L55" s="111">
        <f>IF(C55&gt;0,E55/C55,"")</f>
        <v/>
      </c>
      <c r="M55" s="1">
        <f>IF(C55&lt;&gt;"",IF(C55&lt;=G55,"⚠️ PEDIDO URGENTE",IF(C55&lt;=G55*1.5,"📦 Planejar Pedido","✅ Estoque OK")),"")</f>
        <v/>
      </c>
    </row>
    <row r="56">
      <c r="A56" s="1" t="n"/>
      <c r="B56" s="1" t="n"/>
      <c r="C56" s="1" t="n"/>
      <c r="D56" s="1" t="n"/>
      <c r="E56" s="111" t="n"/>
      <c r="F56" s="111">
        <f>IF(AND(C56&lt;&gt;"",E56&lt;&gt;""),C56*E56,"")</f>
        <v/>
      </c>
      <c r="G56" s="1" t="n"/>
      <c r="H56" s="1">
        <f>IF(C56="","",IF(C56&lt;=G56,"🔴 REPOR JÁ",IF(C56&lt;=G56*1.5,"🟡 ATENÇÃO","🟢 OK")))</f>
        <v/>
      </c>
      <c r="I56" s="1" t="n"/>
      <c r="J56" s="1" t="n"/>
      <c r="K56" s="1" t="n"/>
      <c r="L56" s="111">
        <f>IF(C56&gt;0,E56/C56,"")</f>
        <v/>
      </c>
      <c r="M56" s="1">
        <f>IF(C56&lt;&gt;"",IF(C56&lt;=G56,"⚠️ PEDIDO URGENTE",IF(C56&lt;=G56*1.5,"📦 Planejar Pedido","✅ Estoque OK")),"")</f>
        <v/>
      </c>
    </row>
    <row r="57">
      <c r="A57" s="1" t="n"/>
      <c r="B57" s="1" t="n"/>
      <c r="C57" s="1" t="n"/>
      <c r="D57" s="1" t="n"/>
      <c r="E57" s="111" t="n"/>
      <c r="F57" s="111">
        <f>IF(AND(C57&lt;&gt;"",E57&lt;&gt;""),C57*E57,"")</f>
        <v/>
      </c>
      <c r="G57" s="1" t="n"/>
      <c r="H57" s="1">
        <f>IF(C57="","",IF(C57&lt;=G57,"🔴 REPOR JÁ",IF(C57&lt;=G57*1.5,"🟡 ATENÇÃO","🟢 OK")))</f>
        <v/>
      </c>
      <c r="I57" s="1" t="n"/>
      <c r="J57" s="1" t="n"/>
      <c r="K57" s="1" t="n"/>
      <c r="L57" s="111">
        <f>IF(C57&gt;0,E57/C57,"")</f>
        <v/>
      </c>
      <c r="M57" s="1">
        <f>IF(C57&lt;&gt;"",IF(C57&lt;=G57,"⚠️ PEDIDO URGENTE",IF(C57&lt;=G57*1.5,"📦 Planejar Pedido","✅ Estoque OK")),"")</f>
        <v/>
      </c>
    </row>
    <row r="58">
      <c r="A58" s="1" t="n"/>
      <c r="B58" s="1" t="n"/>
      <c r="C58" s="1" t="n"/>
      <c r="D58" s="1" t="n"/>
      <c r="E58" s="111" t="n"/>
      <c r="F58" s="111">
        <f>IF(AND(C58&lt;&gt;"",E58&lt;&gt;""),C58*E58,"")</f>
        <v/>
      </c>
      <c r="G58" s="1" t="n"/>
      <c r="H58" s="1">
        <f>IF(C58="","",IF(C58&lt;=G58,"🔴 REPOR JÁ",IF(C58&lt;=G58*1.5,"🟡 ATENÇÃO","🟢 OK")))</f>
        <v/>
      </c>
      <c r="I58" s="1" t="n"/>
      <c r="J58" s="1" t="n"/>
      <c r="K58" s="1" t="n"/>
      <c r="L58" s="111">
        <f>IF(C58&gt;0,E58/C58,"")</f>
        <v/>
      </c>
      <c r="M58" s="1">
        <f>IF(C58&lt;&gt;"",IF(C58&lt;=G58,"⚠️ PEDIDO URGENTE",IF(C58&lt;=G58*1.5,"📦 Planejar Pedido","✅ Estoque OK")),"")</f>
        <v/>
      </c>
    </row>
    <row r="59">
      <c r="A59" s="1" t="n"/>
      <c r="B59" s="1" t="n"/>
      <c r="C59" s="1" t="n"/>
      <c r="D59" s="1" t="n"/>
      <c r="E59" s="111" t="n"/>
      <c r="F59" s="111">
        <f>IF(AND(C59&lt;&gt;"",E59&lt;&gt;""),C59*E59,"")</f>
        <v/>
      </c>
      <c r="G59" s="1" t="n"/>
      <c r="H59" s="1">
        <f>IF(C59="","",IF(C59&lt;=G59,"🔴 REPOR JÁ",IF(C59&lt;=G59*1.5,"🟡 ATENÇÃO","🟢 OK")))</f>
        <v/>
      </c>
      <c r="I59" s="1" t="n"/>
      <c r="J59" s="1" t="n"/>
      <c r="K59" s="1" t="n"/>
      <c r="L59" s="111">
        <f>IF(C59&gt;0,E59/C59,"")</f>
        <v/>
      </c>
      <c r="M59" s="1">
        <f>IF(C59&lt;&gt;"",IF(C59&lt;=G59,"⚠️ PEDIDO URGENTE",IF(C59&lt;=G59*1.5,"📦 Planejar Pedido","✅ Estoque OK")),"")</f>
        <v/>
      </c>
    </row>
    <row r="60">
      <c r="A60" s="1" t="n"/>
      <c r="B60" s="1" t="n"/>
      <c r="C60" s="1" t="n"/>
      <c r="D60" s="1" t="n"/>
      <c r="E60" s="111" t="n"/>
      <c r="F60" s="111">
        <f>IF(AND(C60&lt;&gt;"",E60&lt;&gt;""),C60*E60,"")</f>
        <v/>
      </c>
      <c r="G60" s="1" t="n"/>
      <c r="H60" s="1">
        <f>IF(C60="","",IF(C60&lt;=G60,"🔴 REPOR JÁ",IF(C60&lt;=G60*1.5,"🟡 ATENÇÃO","🟢 OK")))</f>
        <v/>
      </c>
      <c r="I60" s="1" t="n"/>
      <c r="J60" s="1" t="n"/>
      <c r="K60" s="1" t="n"/>
      <c r="L60" s="111">
        <f>IF(C60&gt;0,E60/C60,"")</f>
        <v/>
      </c>
      <c r="M60" s="1">
        <f>IF(C60&lt;&gt;"",IF(C60&lt;=G60,"⚠️ PEDIDO URGENTE",IF(C60&lt;=G60*1.5,"📦 Planejar Pedido","✅ Estoque OK")),"")</f>
        <v/>
      </c>
    </row>
    <row r="61">
      <c r="A61" s="1" t="n"/>
      <c r="B61" s="1" t="n"/>
      <c r="C61" s="1" t="n"/>
      <c r="D61" s="1" t="n"/>
      <c r="E61" s="111" t="n"/>
      <c r="F61" s="111">
        <f>IF(AND(C61&lt;&gt;"",E61&lt;&gt;""),C61*E61,"")</f>
        <v/>
      </c>
      <c r="G61" s="1" t="n"/>
      <c r="H61" s="1">
        <f>IF(C61="","",IF(C61&lt;=G61,"🔴 REPOR JÁ",IF(C61&lt;=G61*1.5,"🟡 ATENÇÃO","🟢 OK")))</f>
        <v/>
      </c>
      <c r="I61" s="1" t="n"/>
      <c r="J61" s="1" t="n"/>
      <c r="K61" s="1" t="n"/>
      <c r="L61" s="111">
        <f>IF(C61&gt;0,E61/C61,"")</f>
        <v/>
      </c>
      <c r="M61" s="1">
        <f>IF(C61&lt;&gt;"",IF(C61&lt;=G61,"⚠️ PEDIDO URGENTE",IF(C61&lt;=G61*1.5,"📦 Planejar Pedido","✅ Estoque OK")),"")</f>
        <v/>
      </c>
    </row>
    <row r="62">
      <c r="A62" s="1" t="n"/>
      <c r="B62" s="1" t="n"/>
      <c r="C62" s="1" t="n"/>
      <c r="D62" s="1" t="n"/>
      <c r="E62" s="111" t="n"/>
      <c r="F62" s="111">
        <f>IF(AND(C62&lt;&gt;"",E62&lt;&gt;""),C62*E62,"")</f>
        <v/>
      </c>
      <c r="G62" s="1" t="n"/>
      <c r="H62" s="1">
        <f>IF(C62="","",IF(C62&lt;=G62,"🔴 REPOR JÁ",IF(C62&lt;=G62*1.5,"🟡 ATENÇÃO","🟢 OK")))</f>
        <v/>
      </c>
      <c r="I62" s="1" t="n"/>
      <c r="J62" s="1" t="n"/>
      <c r="K62" s="1" t="n"/>
      <c r="L62" s="111">
        <f>IF(C62&gt;0,E62/C62,"")</f>
        <v/>
      </c>
      <c r="M62" s="1">
        <f>IF(C62&lt;&gt;"",IF(C62&lt;=G62,"⚠️ PEDIDO URGENTE",IF(C62&lt;=G62*1.5,"📦 Planejar Pedido","✅ Estoque OK")),"")</f>
        <v/>
      </c>
    </row>
    <row r="63">
      <c r="A63" s="1" t="n"/>
      <c r="B63" s="1" t="n"/>
      <c r="C63" s="1" t="n"/>
      <c r="D63" s="1" t="n"/>
      <c r="E63" s="111" t="n"/>
      <c r="F63" s="111">
        <f>IF(AND(C63&lt;&gt;"",E63&lt;&gt;""),C63*E63,"")</f>
        <v/>
      </c>
      <c r="G63" s="1" t="n"/>
      <c r="H63" s="1">
        <f>IF(C63="","",IF(C63&lt;=G63,"🔴 REPOR JÁ",IF(C63&lt;=G63*1.5,"🟡 ATENÇÃO","🟢 OK")))</f>
        <v/>
      </c>
      <c r="I63" s="1" t="n"/>
      <c r="J63" s="1" t="n"/>
      <c r="K63" s="1" t="n"/>
      <c r="L63" s="111">
        <f>IF(C63&gt;0,E63/C63,"")</f>
        <v/>
      </c>
      <c r="M63" s="1">
        <f>IF(C63&lt;&gt;"",IF(C63&lt;=G63,"⚠️ PEDIDO URGENTE",IF(C63&lt;=G63*1.5,"📦 Planejar Pedido","✅ Estoque OK")),"")</f>
        <v/>
      </c>
    </row>
    <row r="64">
      <c r="A64" s="1" t="n"/>
      <c r="B64" s="1" t="n"/>
      <c r="C64" s="1" t="n"/>
      <c r="D64" s="1" t="n"/>
      <c r="E64" s="111" t="n"/>
      <c r="F64" s="111">
        <f>IF(AND(C64&lt;&gt;"",E64&lt;&gt;""),C64*E64,"")</f>
        <v/>
      </c>
      <c r="G64" s="1" t="n"/>
      <c r="H64" s="1">
        <f>IF(C64="","",IF(C64&lt;=G64,"🔴 REPOR JÁ",IF(C64&lt;=G64*1.5,"🟡 ATENÇÃO","🟢 OK")))</f>
        <v/>
      </c>
      <c r="I64" s="1" t="n"/>
      <c r="J64" s="1" t="n"/>
      <c r="K64" s="1" t="n"/>
      <c r="L64" s="111">
        <f>IF(C64&gt;0,E64/C64,"")</f>
        <v/>
      </c>
      <c r="M64" s="1">
        <f>IF(C64&lt;&gt;"",IF(C64&lt;=G64,"⚠️ PEDIDO URGENTE",IF(C64&lt;=G64*1.5,"📦 Planejar Pedido","✅ Estoque OK")),"")</f>
        <v/>
      </c>
    </row>
    <row r="65">
      <c r="A65" s="1" t="n"/>
      <c r="B65" s="1" t="n"/>
      <c r="C65" s="1" t="n"/>
      <c r="D65" s="1" t="n"/>
      <c r="E65" s="111" t="n"/>
      <c r="F65" s="111">
        <f>IF(AND(C65&lt;&gt;"",E65&lt;&gt;""),C65*E65,"")</f>
        <v/>
      </c>
      <c r="G65" s="1" t="n"/>
      <c r="H65" s="1">
        <f>IF(C65="","",IF(C65&lt;=G65,"🔴 REPOR JÁ",IF(C65&lt;=G65*1.5,"🟡 ATENÇÃO","🟢 OK")))</f>
        <v/>
      </c>
      <c r="I65" s="1" t="n"/>
      <c r="J65" s="1" t="n"/>
      <c r="K65" s="1" t="n"/>
      <c r="L65" s="111">
        <f>IF(C65&gt;0,E65/C65,"")</f>
        <v/>
      </c>
      <c r="M65" s="1">
        <f>IF(C65&lt;&gt;"",IF(C65&lt;=G65,"⚠️ PEDIDO URGENTE",IF(C65&lt;=G65*1.5,"📦 Planejar Pedido","✅ Estoque OK")),"")</f>
        <v/>
      </c>
    </row>
    <row r="66">
      <c r="A66" s="1" t="n"/>
      <c r="B66" s="1" t="n"/>
      <c r="C66" s="1" t="n"/>
      <c r="D66" s="1" t="n"/>
      <c r="E66" s="111" t="n"/>
      <c r="F66" s="111">
        <f>IF(AND(C66&lt;&gt;"",E66&lt;&gt;""),C66*E66,"")</f>
        <v/>
      </c>
      <c r="G66" s="1" t="n"/>
      <c r="H66" s="1">
        <f>IF(C66="","",IF(C66&lt;=G66,"🔴 REPOR JÁ",IF(C66&lt;=G66*1.5,"🟡 ATENÇÃO","🟢 OK")))</f>
        <v/>
      </c>
      <c r="I66" s="1" t="n"/>
      <c r="J66" s="1" t="n"/>
      <c r="K66" s="1" t="n"/>
      <c r="L66" s="111">
        <f>IF(C66&gt;0,E66/C66,"")</f>
        <v/>
      </c>
      <c r="M66" s="1">
        <f>IF(C66&lt;&gt;"",IF(C66&lt;=G66,"⚠️ PEDIDO URGENTE",IF(C66&lt;=G66*1.5,"📦 Planejar Pedido","✅ Estoque OK")),"")</f>
        <v/>
      </c>
    </row>
    <row r="67">
      <c r="A67" s="1" t="n"/>
      <c r="B67" s="1" t="n"/>
      <c r="C67" s="1" t="n"/>
      <c r="D67" s="1" t="n"/>
      <c r="E67" s="111" t="n"/>
      <c r="F67" s="111">
        <f>IF(AND(C67&lt;&gt;"",E67&lt;&gt;""),C67*E67,"")</f>
        <v/>
      </c>
      <c r="G67" s="1" t="n"/>
      <c r="H67" s="1">
        <f>IF(C67="","",IF(C67&lt;=G67,"🔴 REPOR JÁ",IF(C67&lt;=G67*1.5,"🟡 ATENÇÃO","🟢 OK")))</f>
        <v/>
      </c>
      <c r="I67" s="1" t="n"/>
      <c r="J67" s="1" t="n"/>
      <c r="K67" s="1" t="n"/>
      <c r="L67" s="111">
        <f>IF(C67&gt;0,E67/C67,"")</f>
        <v/>
      </c>
      <c r="M67" s="1">
        <f>IF(C67&lt;&gt;"",IF(C67&lt;=G67,"⚠️ PEDIDO URGENTE",IF(C67&lt;=G67*1.5,"📦 Planejar Pedido","✅ Estoque OK")),"")</f>
        <v/>
      </c>
    </row>
    <row r="68">
      <c r="A68" s="1" t="n"/>
      <c r="B68" s="1" t="n"/>
      <c r="C68" s="1" t="n"/>
      <c r="D68" s="1" t="n"/>
      <c r="E68" s="111" t="n"/>
      <c r="F68" s="111">
        <f>IF(AND(C68&lt;&gt;"",E68&lt;&gt;""),C68*E68,"")</f>
        <v/>
      </c>
      <c r="G68" s="1" t="n"/>
      <c r="H68" s="1">
        <f>IF(C68="","",IF(C68&lt;=G68,"🔴 REPOR JÁ",IF(C68&lt;=G68*1.5,"🟡 ATENÇÃO","🟢 OK")))</f>
        <v/>
      </c>
      <c r="I68" s="1" t="n"/>
      <c r="J68" s="1" t="n"/>
      <c r="K68" s="1" t="n"/>
      <c r="L68" s="111">
        <f>IF(C68&gt;0,E68/C68,"")</f>
        <v/>
      </c>
      <c r="M68" s="1">
        <f>IF(C68&lt;&gt;"",IF(C68&lt;=G68,"⚠️ PEDIDO URGENTE",IF(C68&lt;=G68*1.5,"📦 Planejar Pedido","✅ Estoque OK")),"")</f>
        <v/>
      </c>
    </row>
    <row r="69">
      <c r="A69" s="1" t="n"/>
      <c r="B69" s="1" t="n"/>
      <c r="C69" s="1" t="n"/>
      <c r="D69" s="1" t="n"/>
      <c r="E69" s="111" t="n"/>
      <c r="F69" s="111">
        <f>IF(AND(C69&lt;&gt;"",E69&lt;&gt;""),C69*E69,"")</f>
        <v/>
      </c>
      <c r="G69" s="1" t="n"/>
      <c r="H69" s="1">
        <f>IF(C69="","",IF(C69&lt;=G69,"🔴 REPOR JÁ",IF(C69&lt;=G69*1.5,"🟡 ATENÇÃO","🟢 OK")))</f>
        <v/>
      </c>
      <c r="I69" s="1" t="n"/>
      <c r="J69" s="1" t="n"/>
      <c r="K69" s="1" t="n"/>
      <c r="L69" s="111">
        <f>IF(C69&gt;0,E69/C69,"")</f>
        <v/>
      </c>
      <c r="M69" s="1">
        <f>IF(C69&lt;&gt;"",IF(C69&lt;=G69,"⚠️ PEDIDO URGENTE",IF(C69&lt;=G69*1.5,"📦 Planejar Pedido","✅ Estoque OK")),"")</f>
        <v/>
      </c>
    </row>
    <row r="70">
      <c r="A70" s="1" t="n"/>
      <c r="B70" s="1" t="n"/>
      <c r="C70" s="1" t="n"/>
      <c r="D70" s="1" t="n"/>
      <c r="E70" s="111" t="n"/>
      <c r="F70" s="111">
        <f>IF(AND(C70&lt;&gt;"",E70&lt;&gt;""),C70*E70,"")</f>
        <v/>
      </c>
      <c r="G70" s="1" t="n"/>
      <c r="H70" s="1">
        <f>IF(C70="","",IF(C70&lt;=G70,"🔴 REPOR JÁ",IF(C70&lt;=G70*1.5,"🟡 ATENÇÃO","🟢 OK")))</f>
        <v/>
      </c>
      <c r="I70" s="1" t="n"/>
      <c r="J70" s="1" t="n"/>
      <c r="K70" s="1" t="n"/>
      <c r="L70" s="111">
        <f>IF(C70&gt;0,E70/C70,"")</f>
        <v/>
      </c>
      <c r="M70" s="1">
        <f>IF(C70&lt;&gt;"",IF(C70&lt;=G70,"⚠️ PEDIDO URGENTE",IF(C70&lt;=G70*1.5,"📦 Planejar Pedido","✅ Estoque OK")),"")</f>
        <v/>
      </c>
    </row>
    <row r="71">
      <c r="A71" s="1" t="n"/>
      <c r="B71" s="1" t="n"/>
      <c r="C71" s="1" t="n"/>
      <c r="D71" s="1" t="n"/>
      <c r="E71" s="111" t="n"/>
      <c r="F71" s="111">
        <f>IF(AND(C71&lt;&gt;"",E71&lt;&gt;""),C71*E71,"")</f>
        <v/>
      </c>
      <c r="G71" s="1" t="n"/>
      <c r="H71" s="1">
        <f>IF(C71="","",IF(C71&lt;=G71,"🔴 REPOR JÁ",IF(C71&lt;=G71*1.5,"🟡 ATENÇÃO","🟢 OK")))</f>
        <v/>
      </c>
      <c r="I71" s="1" t="n"/>
      <c r="J71" s="1" t="n"/>
      <c r="K71" s="1" t="n"/>
      <c r="L71" s="111">
        <f>IF(C71&gt;0,E71/C71,"")</f>
        <v/>
      </c>
      <c r="M71" s="1">
        <f>IF(C71&lt;&gt;"",IF(C71&lt;=G71,"⚠️ PEDIDO URGENTE",IF(C71&lt;=G71*1.5,"📦 Planejar Pedido","✅ Estoque OK")),"")</f>
        <v/>
      </c>
    </row>
    <row r="72">
      <c r="A72" s="1" t="n"/>
      <c r="B72" s="1" t="n"/>
      <c r="C72" s="1" t="n"/>
      <c r="D72" s="1" t="n"/>
      <c r="E72" s="111" t="n"/>
      <c r="F72" s="111">
        <f>IF(AND(C72&lt;&gt;"",E72&lt;&gt;""),C72*E72,"")</f>
        <v/>
      </c>
      <c r="G72" s="1" t="n"/>
      <c r="H72" s="1">
        <f>IF(C72="","",IF(C72&lt;=G72,"🔴 REPOR JÁ",IF(C72&lt;=G72*1.5,"🟡 ATENÇÃO","🟢 OK")))</f>
        <v/>
      </c>
      <c r="I72" s="1" t="n"/>
      <c r="J72" s="1" t="n"/>
      <c r="K72" s="1" t="n"/>
      <c r="L72" s="111">
        <f>IF(C72&gt;0,E72/C72,"")</f>
        <v/>
      </c>
      <c r="M72" s="1">
        <f>IF(C72&lt;&gt;"",IF(C72&lt;=G72,"⚠️ PEDIDO URGENTE",IF(C72&lt;=G72*1.5,"📦 Planejar Pedido","✅ Estoque OK")),"")</f>
        <v/>
      </c>
    </row>
    <row r="73">
      <c r="A73" s="1" t="n"/>
      <c r="B73" s="1" t="n"/>
      <c r="C73" s="1" t="n"/>
      <c r="D73" s="1" t="n"/>
      <c r="E73" s="111" t="n"/>
      <c r="F73" s="111">
        <f>IF(AND(C73&lt;&gt;"",E73&lt;&gt;""),C73*E73,"")</f>
        <v/>
      </c>
      <c r="G73" s="1" t="n"/>
      <c r="H73" s="1">
        <f>IF(C73="","",IF(C73&lt;=G73,"🔴 REPOR JÁ",IF(C73&lt;=G73*1.5,"🟡 ATENÇÃO","🟢 OK")))</f>
        <v/>
      </c>
      <c r="I73" s="1" t="n"/>
      <c r="J73" s="1" t="n"/>
      <c r="K73" s="1" t="n"/>
      <c r="L73" s="111">
        <f>IF(C73&gt;0,E73/C73,"")</f>
        <v/>
      </c>
      <c r="M73" s="1">
        <f>IF(C73&lt;&gt;"",IF(C73&lt;=G73,"⚠️ PEDIDO URGENTE",IF(C73&lt;=G73*1.5,"📦 Planejar Pedido","✅ Estoque OK")),"")</f>
        <v/>
      </c>
    </row>
    <row r="74">
      <c r="A74" s="1" t="n"/>
      <c r="B74" s="1" t="n"/>
      <c r="C74" s="1" t="n"/>
      <c r="D74" s="1" t="n"/>
      <c r="E74" s="111" t="n"/>
      <c r="F74" s="111">
        <f>IF(AND(C74&lt;&gt;"",E74&lt;&gt;""),C74*E74,"")</f>
        <v/>
      </c>
      <c r="G74" s="1" t="n"/>
      <c r="H74" s="1">
        <f>IF(C74="","",IF(C74&lt;=G74,"🔴 REPOR JÁ",IF(C74&lt;=G74*1.5,"🟡 ATENÇÃO","🟢 OK")))</f>
        <v/>
      </c>
      <c r="I74" s="1" t="n"/>
      <c r="J74" s="1" t="n"/>
      <c r="K74" s="1" t="n"/>
      <c r="L74" s="111">
        <f>IF(C74&gt;0,E74/C74,"")</f>
        <v/>
      </c>
      <c r="M74" s="1">
        <f>IF(C74&lt;&gt;"",IF(C74&lt;=G74,"⚠️ PEDIDO URGENTE",IF(C74&lt;=G74*1.5,"📦 Planejar Pedido","✅ Estoque OK")),"")</f>
        <v/>
      </c>
    </row>
    <row r="75">
      <c r="A75" s="1" t="n"/>
      <c r="B75" s="1" t="n"/>
      <c r="C75" s="1" t="n"/>
      <c r="D75" s="1" t="n"/>
      <c r="E75" s="111" t="n"/>
      <c r="F75" s="111">
        <f>IF(AND(C75&lt;&gt;"",E75&lt;&gt;""),C75*E75,"")</f>
        <v/>
      </c>
      <c r="G75" s="1" t="n"/>
      <c r="H75" s="1">
        <f>IF(C75="","",IF(C75&lt;=G75,"🔴 REPOR JÁ",IF(C75&lt;=G75*1.5,"🟡 ATENÇÃO","🟢 OK")))</f>
        <v/>
      </c>
      <c r="I75" s="1" t="n"/>
      <c r="J75" s="1" t="n"/>
      <c r="K75" s="1" t="n"/>
      <c r="L75" s="111">
        <f>IF(C75&gt;0,E75/C75,"")</f>
        <v/>
      </c>
      <c r="M75" s="1">
        <f>IF(C75&lt;&gt;"",IF(C75&lt;=G75,"⚠️ PEDIDO URGENTE",IF(C75&lt;=G75*1.5,"📦 Planejar Pedido","✅ Estoque OK")),"")</f>
        <v/>
      </c>
    </row>
    <row r="76">
      <c r="A76" s="1" t="n"/>
      <c r="B76" s="1" t="n"/>
      <c r="C76" s="1" t="n"/>
      <c r="D76" s="1" t="n"/>
      <c r="E76" s="111" t="n"/>
      <c r="F76" s="111">
        <f>IF(AND(C76&lt;&gt;"",E76&lt;&gt;""),C76*E76,"")</f>
        <v/>
      </c>
      <c r="G76" s="1" t="n"/>
      <c r="H76" s="1">
        <f>IF(C76="","",IF(C76&lt;=G76,"🔴 REPOR JÁ",IF(C76&lt;=G76*1.5,"🟡 ATENÇÃO","🟢 OK")))</f>
        <v/>
      </c>
      <c r="I76" s="1" t="n"/>
      <c r="J76" s="1" t="n"/>
      <c r="K76" s="1" t="n"/>
      <c r="L76" s="111">
        <f>IF(C76&gt;0,E76/C76,"")</f>
        <v/>
      </c>
      <c r="M76" s="1">
        <f>IF(C76&lt;&gt;"",IF(C76&lt;=G76,"⚠️ PEDIDO URGENTE",IF(C76&lt;=G76*1.5,"📦 Planejar Pedido","✅ Estoque OK")),"")</f>
        <v/>
      </c>
    </row>
    <row r="77">
      <c r="A77" s="1" t="n"/>
      <c r="B77" s="1" t="n"/>
      <c r="C77" s="1" t="n"/>
      <c r="D77" s="1" t="n"/>
      <c r="E77" s="111" t="n"/>
      <c r="F77" s="111">
        <f>IF(AND(C77&lt;&gt;"",E77&lt;&gt;""),C77*E77,"")</f>
        <v/>
      </c>
      <c r="G77" s="1" t="n"/>
      <c r="H77" s="1">
        <f>IF(C77="","",IF(C77&lt;=G77,"🔴 REPOR JÁ",IF(C77&lt;=G77*1.5,"🟡 ATENÇÃO","🟢 OK")))</f>
        <v/>
      </c>
      <c r="I77" s="1" t="n"/>
      <c r="J77" s="1" t="n"/>
      <c r="K77" s="1" t="n"/>
      <c r="L77" s="111">
        <f>IF(C77&gt;0,E77/C77,"")</f>
        <v/>
      </c>
      <c r="M77" s="1">
        <f>IF(C77&lt;&gt;"",IF(C77&lt;=G77,"⚠️ PEDIDO URGENTE",IF(C77&lt;=G77*1.5,"📦 Planejar Pedido","✅ Estoque OK")),"")</f>
        <v/>
      </c>
    </row>
    <row r="78">
      <c r="A78" s="1" t="n"/>
      <c r="B78" s="1" t="n"/>
      <c r="C78" s="1" t="n"/>
      <c r="D78" s="1" t="n"/>
      <c r="E78" s="111" t="n"/>
      <c r="F78" s="111">
        <f>IF(AND(C78&lt;&gt;"",E78&lt;&gt;""),C78*E78,"")</f>
        <v/>
      </c>
      <c r="G78" s="1" t="n"/>
      <c r="H78" s="1">
        <f>IF(C78="","",IF(C78&lt;=G78,"🔴 REPOR JÁ",IF(C78&lt;=G78*1.5,"🟡 ATENÇÃO","🟢 OK")))</f>
        <v/>
      </c>
      <c r="I78" s="1" t="n"/>
      <c r="J78" s="1" t="n"/>
      <c r="K78" s="1" t="n"/>
      <c r="L78" s="111">
        <f>IF(C78&gt;0,E78/C78,"")</f>
        <v/>
      </c>
      <c r="M78" s="1">
        <f>IF(C78&lt;&gt;"",IF(C78&lt;=G78,"⚠️ PEDIDO URGENTE",IF(C78&lt;=G78*1.5,"📦 Planejar Pedido","✅ Estoque OK")),"")</f>
        <v/>
      </c>
    </row>
    <row r="79">
      <c r="A79" s="1" t="n"/>
      <c r="B79" s="1" t="n"/>
      <c r="C79" s="1" t="n"/>
      <c r="D79" s="1" t="n"/>
      <c r="E79" s="111" t="n"/>
      <c r="F79" s="111">
        <f>IF(AND(C79&lt;&gt;"",E79&lt;&gt;""),C79*E79,"")</f>
        <v/>
      </c>
      <c r="G79" s="1" t="n"/>
      <c r="H79" s="1">
        <f>IF(C79="","",IF(C79&lt;=G79,"🔴 REPOR JÁ",IF(C79&lt;=G79*1.5,"🟡 ATENÇÃO","🟢 OK")))</f>
        <v/>
      </c>
      <c r="I79" s="1" t="n"/>
      <c r="J79" s="1" t="n"/>
      <c r="K79" s="1" t="n"/>
      <c r="L79" s="111">
        <f>IF(C79&gt;0,E79/C79,"")</f>
        <v/>
      </c>
      <c r="M79" s="1">
        <f>IF(C79&lt;&gt;"",IF(C79&lt;=G79,"⚠️ PEDIDO URGENTE",IF(C79&lt;=G79*1.5,"📦 Planejar Pedido","✅ Estoque OK")),"")</f>
        <v/>
      </c>
    </row>
    <row r="80">
      <c r="E80" s="116" t="n"/>
      <c r="F80" s="116">
        <f>IF(AND(C80&lt;&gt;"",E80&lt;&gt;""),C80*E80,"")</f>
        <v/>
      </c>
      <c r="H80">
        <f>IF(C80="","",IF(C80&lt;=G80,"🔴 REPOR JÁ",IF(C80&lt;=G80*1.5,"🟡 ATENÇÃO","🟢 OK")))</f>
        <v/>
      </c>
      <c r="L80" s="116">
        <f>IF(C80&gt;0,E80/C80,"")</f>
        <v/>
      </c>
      <c r="M80">
        <f>IF(C80&lt;&gt;"",IF(C80&lt;=G80,"⚠️ PEDIDO URGENTE",IF(C80&lt;=G80*1.5,"📦 Planejar Pedido","✅ Estoque OK")),"")</f>
        <v/>
      </c>
    </row>
    <row r="81">
      <c r="E81" s="116" t="n"/>
      <c r="F81" s="116">
        <f>IF(AND(C81&lt;&gt;"",E81&lt;&gt;""),C81*E81,"")</f>
        <v/>
      </c>
      <c r="H81">
        <f>IF(C81="","",IF(C81&lt;=G81,"🔴 REPOR JÁ",IF(C81&lt;=G81*1.5,"🟡 ATENÇÃO","🟢 OK")))</f>
        <v/>
      </c>
      <c r="L81" s="116">
        <f>IF(C81&gt;0,E81/C81,"")</f>
        <v/>
      </c>
      <c r="M81">
        <f>IF(C81&lt;&gt;"",IF(C81&lt;=G81,"⚠️ PEDIDO URGENTE",IF(C81&lt;=G81*1.5,"📦 Planejar Pedido","✅ Estoque OK")),"")</f>
        <v/>
      </c>
    </row>
    <row r="82">
      <c r="E82" s="116" t="n"/>
      <c r="F82" s="116">
        <f>IF(AND(C82&lt;&gt;"",E82&lt;&gt;""),C82*E82,"")</f>
        <v/>
      </c>
      <c r="H82">
        <f>IF(C82="","",IF(C82&lt;=G82,"🔴 REPOR JÁ",IF(C82&lt;=G82*1.5,"🟡 ATENÇÃO","🟢 OK")))</f>
        <v/>
      </c>
      <c r="L82" s="116">
        <f>IF(C82&gt;0,E82/C82,"")</f>
        <v/>
      </c>
      <c r="M82">
        <f>IF(C82&lt;&gt;"",IF(C82&lt;=G82,"⚠️ PEDIDO URGENTE",IF(C82&lt;=G82*1.5,"📦 Planejar Pedido","✅ Estoque OK")),"")</f>
        <v/>
      </c>
    </row>
    <row r="83">
      <c r="E83" s="116" t="n"/>
      <c r="F83" s="116">
        <f>IF(AND(C83&lt;&gt;"",E83&lt;&gt;""),C83*E83,"")</f>
        <v/>
      </c>
      <c r="H83">
        <f>IF(C83="","",IF(C83&lt;=G83,"🔴 REPOR JÁ",IF(C83&lt;=G83*1.5,"🟡 ATENÇÃO","🟢 OK")))</f>
        <v/>
      </c>
      <c r="L83" s="116">
        <f>IF(C83&gt;0,E83/C83,"")</f>
        <v/>
      </c>
      <c r="M83">
        <f>IF(C83&lt;&gt;"",IF(C83&lt;=G83,"⚠️ PEDIDO URGENTE",IF(C83&lt;=G83*1.5,"📦 Planejar Pedido","✅ Estoque OK")),"")</f>
        <v/>
      </c>
    </row>
    <row r="84">
      <c r="E84" s="116" t="n"/>
      <c r="F84" s="116">
        <f>IF(AND(C84&lt;&gt;"",E84&lt;&gt;""),C84*E84,"")</f>
        <v/>
      </c>
      <c r="H84">
        <f>IF(C84="","",IF(C84&lt;=G84,"🔴 REPOR JÁ",IF(C84&lt;=G84*1.5,"🟡 ATENÇÃO","🟢 OK")))</f>
        <v/>
      </c>
      <c r="L84" s="116">
        <f>IF(C84&gt;0,E84/C84,"")</f>
        <v/>
      </c>
      <c r="M84">
        <f>IF(C84&lt;&gt;"",IF(C84&lt;=G84,"⚠️ PEDIDO URGENTE",IF(C84&lt;=G84*1.5,"📦 Planejar Pedido","✅ Estoque OK")),"")</f>
        <v/>
      </c>
    </row>
    <row r="85">
      <c r="E85" s="116" t="n"/>
      <c r="F85" s="116">
        <f>IF(AND(C85&lt;&gt;"",E85&lt;&gt;""),C85*E85,"")</f>
        <v/>
      </c>
      <c r="H85">
        <f>IF(C85="","",IF(C85&lt;=G85,"🔴 REPOR JÁ",IF(C85&lt;=G85*1.5,"🟡 ATENÇÃO","🟢 OK")))</f>
        <v/>
      </c>
      <c r="L85" s="116">
        <f>IF(C85&gt;0,E85/C85,"")</f>
        <v/>
      </c>
      <c r="M85">
        <f>IF(C85&lt;&gt;"",IF(C85&lt;=G85,"⚠️ PEDIDO URGENTE",IF(C85&lt;=G85*1.5,"📦 Planejar Pedido","✅ Estoque OK")),"")</f>
        <v/>
      </c>
    </row>
    <row r="86">
      <c r="E86" s="116" t="n"/>
      <c r="F86" s="116">
        <f>IF(AND(C86&lt;&gt;"",E86&lt;&gt;""),C86*E86,"")</f>
        <v/>
      </c>
      <c r="H86">
        <f>IF(C86="","",IF(C86&lt;=G86,"🔴 REPOR JÁ",IF(C86&lt;=G86*1.5,"🟡 ATENÇÃO","🟢 OK")))</f>
        <v/>
      </c>
      <c r="L86" s="116">
        <f>IF(C86&gt;0,E86/C86,"")</f>
        <v/>
      </c>
      <c r="M86">
        <f>IF(C86&lt;&gt;"",IF(C86&lt;=G86,"⚠️ PEDIDO URGENTE",IF(C86&lt;=G86*1.5,"📦 Planejar Pedido","✅ Estoque OK")),"")</f>
        <v/>
      </c>
    </row>
    <row r="87">
      <c r="E87" s="116" t="n"/>
      <c r="F87" s="116">
        <f>IF(AND(C87&lt;&gt;"",E87&lt;&gt;""),C87*E87,"")</f>
        <v/>
      </c>
      <c r="H87">
        <f>IF(C87="","",IF(C87&lt;=G87,"🔴 REPOR JÁ",IF(C87&lt;=G87*1.5,"🟡 ATENÇÃO","🟢 OK")))</f>
        <v/>
      </c>
      <c r="L87" s="116">
        <f>IF(C87&gt;0,E87/C87,"")</f>
        <v/>
      </c>
      <c r="M87">
        <f>IF(C87&lt;&gt;"",IF(C87&lt;=G87,"⚠️ PEDIDO URGENTE",IF(C87&lt;=G87*1.5,"📦 Planejar Pedido","✅ Estoque OK")),"")</f>
        <v/>
      </c>
    </row>
    <row r="88">
      <c r="E88" s="116" t="n"/>
      <c r="F88" s="116">
        <f>IF(AND(C88&lt;&gt;"",E88&lt;&gt;""),C88*E88,"")</f>
        <v/>
      </c>
      <c r="H88">
        <f>IF(C88="","",IF(C88&lt;=G88,"🔴 REPOR JÁ",IF(C88&lt;=G88*1.5,"🟡 ATENÇÃO","🟢 OK")))</f>
        <v/>
      </c>
      <c r="L88" s="116">
        <f>IF(C88&gt;0,E88/C88,"")</f>
        <v/>
      </c>
      <c r="M88">
        <f>IF(C88&lt;&gt;"",IF(C88&lt;=G88,"⚠️ PEDIDO URGENTE",IF(C88&lt;=G88*1.5,"📦 Planejar Pedido","✅ Estoque OK")),"")</f>
        <v/>
      </c>
    </row>
    <row r="89">
      <c r="E89" s="116" t="n"/>
      <c r="F89" s="116">
        <f>IF(AND(C89&lt;&gt;"",E89&lt;&gt;""),C89*E89,"")</f>
        <v/>
      </c>
      <c r="H89">
        <f>IF(C89="","",IF(C89&lt;=G89,"🔴 REPOR JÁ",IF(C89&lt;=G89*1.5,"🟡 ATENÇÃO","🟢 OK")))</f>
        <v/>
      </c>
      <c r="L89" s="116">
        <f>IF(C89&gt;0,E89/C89,"")</f>
        <v/>
      </c>
      <c r="M89">
        <f>IF(C89&lt;&gt;"",IF(C89&lt;=G89,"⚠️ PEDIDO URGENTE",IF(C89&lt;=G89*1.5,"📦 Planejar Pedido","✅ Estoque OK")),"")</f>
        <v/>
      </c>
    </row>
    <row r="90">
      <c r="E90" s="116" t="n"/>
      <c r="F90" s="116">
        <f>IF(AND(C90&lt;&gt;"",E90&lt;&gt;""),C90*E90,"")</f>
        <v/>
      </c>
      <c r="H90">
        <f>IF(C90="","",IF(C90&lt;=G90,"🔴 REPOR JÁ",IF(C90&lt;=G90*1.5,"🟡 ATENÇÃO","🟢 OK")))</f>
        <v/>
      </c>
      <c r="L90" s="116">
        <f>IF(C90&gt;0,E90/C90,"")</f>
        <v/>
      </c>
      <c r="M90">
        <f>IF(C90&lt;&gt;"",IF(C90&lt;=G90,"⚠️ PEDIDO URGENTE",IF(C90&lt;=G90*1.5,"📦 Planejar Pedido","✅ Estoque OK")),"")</f>
        <v/>
      </c>
    </row>
    <row r="91">
      <c r="E91" s="116" t="n"/>
      <c r="F91" s="116">
        <f>IF(AND(C91&lt;&gt;"",E91&lt;&gt;""),C91*E91,"")</f>
        <v/>
      </c>
      <c r="H91">
        <f>IF(C91="","",IF(C91&lt;=G91,"🔴 REPOR JÁ",IF(C91&lt;=G91*1.5,"🟡 ATENÇÃO","🟢 OK")))</f>
        <v/>
      </c>
      <c r="L91" s="116">
        <f>IF(C91&gt;0,E91/C91,"")</f>
        <v/>
      </c>
      <c r="M91">
        <f>IF(C91&lt;&gt;"",IF(C91&lt;=G91,"⚠️ PEDIDO URGENTE",IF(C91&lt;=G91*1.5,"📦 Planejar Pedido","✅ Estoque OK")),"")</f>
        <v/>
      </c>
    </row>
    <row r="92">
      <c r="E92" s="116" t="n"/>
      <c r="F92" s="116">
        <f>IF(AND(C92&lt;&gt;"",E92&lt;&gt;""),C92*E92,"")</f>
        <v/>
      </c>
      <c r="H92">
        <f>IF(C92="","",IF(C92&lt;=G92,"🔴 REPOR JÁ",IF(C92&lt;=G92*1.5,"🟡 ATENÇÃO","🟢 OK")))</f>
        <v/>
      </c>
      <c r="L92" s="116">
        <f>IF(C92&gt;0,E92/C92,"")</f>
        <v/>
      </c>
      <c r="M92">
        <f>IF(C92&lt;&gt;"",IF(C92&lt;=G92,"⚠️ PEDIDO URGENTE",IF(C92&lt;=G92*1.5,"📦 Planejar Pedido","✅ Estoque OK")),"")</f>
        <v/>
      </c>
    </row>
    <row r="93">
      <c r="E93" s="116" t="n"/>
      <c r="F93" s="116">
        <f>IF(AND(C93&lt;&gt;"",E93&lt;&gt;""),C93*E93,"")</f>
        <v/>
      </c>
      <c r="H93">
        <f>IF(C93="","",IF(C93&lt;=G93,"🔴 REPOR JÁ",IF(C93&lt;=G93*1.5,"🟡 ATENÇÃO","🟢 OK")))</f>
        <v/>
      </c>
      <c r="L93" s="116">
        <f>IF(C93&gt;0,E93/C93,"")</f>
        <v/>
      </c>
      <c r="M93">
        <f>IF(C93&lt;&gt;"",IF(C93&lt;=G93,"⚠️ PEDIDO URGENTE",IF(C93&lt;=G93*1.5,"📦 Planejar Pedido","✅ Estoque OK")),"")</f>
        <v/>
      </c>
    </row>
    <row r="94">
      <c r="E94" s="116" t="n"/>
      <c r="F94" s="116">
        <f>IF(AND(C94&lt;&gt;"",E94&lt;&gt;""),C94*E94,"")</f>
        <v/>
      </c>
      <c r="H94">
        <f>IF(C94="","",IF(C94&lt;=G94,"🔴 REPOR JÁ",IF(C94&lt;=G94*1.5,"🟡 ATENÇÃO","🟢 OK")))</f>
        <v/>
      </c>
      <c r="L94" s="116">
        <f>IF(C94&gt;0,E94/C94,"")</f>
        <v/>
      </c>
      <c r="M94">
        <f>IF(C94&lt;&gt;"",IF(C94&lt;=G94,"⚠️ PEDIDO URGENTE",IF(C94&lt;=G94*1.5,"📦 Planejar Pedido","✅ Estoque OK")),"")</f>
        <v/>
      </c>
    </row>
    <row r="95">
      <c r="E95" s="116" t="n"/>
      <c r="F95" s="116">
        <f>IF(AND(C95&lt;&gt;"",E95&lt;&gt;""),C95*E95,"")</f>
        <v/>
      </c>
      <c r="H95">
        <f>IF(C95="","",IF(C95&lt;=G95,"🔴 REPOR JÁ",IF(C95&lt;=G95*1.5,"🟡 ATENÇÃO","🟢 OK")))</f>
        <v/>
      </c>
      <c r="L95" s="116">
        <f>IF(C95&gt;0,E95/C95,"")</f>
        <v/>
      </c>
      <c r="M95">
        <f>IF(C95&lt;&gt;"",IF(C95&lt;=G95,"⚠️ PEDIDO URGENTE",IF(C95&lt;=G95*1.5,"📦 Planejar Pedido","✅ Estoque OK")),"")</f>
        <v/>
      </c>
    </row>
    <row r="96">
      <c r="E96" s="116" t="n"/>
      <c r="F96" s="116">
        <f>IF(AND(C96&lt;&gt;"",E96&lt;&gt;""),C96*E96,"")</f>
        <v/>
      </c>
      <c r="H96">
        <f>IF(C96="","",IF(C96&lt;=G96,"🔴 REPOR JÁ",IF(C96&lt;=G96*1.5,"🟡 ATENÇÃO","🟢 OK")))</f>
        <v/>
      </c>
      <c r="L96" s="116">
        <f>IF(C96&gt;0,E96/C96,"")</f>
        <v/>
      </c>
      <c r="M96">
        <f>IF(C96&lt;&gt;"",IF(C96&lt;=G96,"⚠️ PEDIDO URGENTE",IF(C96&lt;=G96*1.5,"📦 Planejar Pedido","✅ Estoque OK")),"")</f>
        <v/>
      </c>
    </row>
    <row r="97">
      <c r="E97" s="116" t="n"/>
      <c r="F97" s="116">
        <f>IF(AND(C97&lt;&gt;"",E97&lt;&gt;""),C97*E97,"")</f>
        <v/>
      </c>
      <c r="H97">
        <f>IF(C97="","",IF(C97&lt;=G97,"🔴 REPOR JÁ",IF(C97&lt;=G97*1.5,"🟡 ATENÇÃO","🟢 OK")))</f>
        <v/>
      </c>
      <c r="L97" s="116">
        <f>IF(C97&gt;0,E97/C97,"")</f>
        <v/>
      </c>
      <c r="M97">
        <f>IF(C97&lt;&gt;"",IF(C97&lt;=G97,"⚠️ PEDIDO URGENTE",IF(C97&lt;=G97*1.5,"📦 Planejar Pedido","✅ Estoque OK")),"")</f>
        <v/>
      </c>
    </row>
    <row r="98">
      <c r="E98" s="116" t="n"/>
      <c r="F98" s="116">
        <f>IF(AND(C98&lt;&gt;"",E98&lt;&gt;""),C98*E98,"")</f>
        <v/>
      </c>
      <c r="H98">
        <f>IF(C98="","",IF(C98&lt;=G98,"🔴 REPOR JÁ",IF(C98&lt;=G98*1.5,"🟡 ATENÇÃO","🟢 OK")))</f>
        <v/>
      </c>
      <c r="L98" s="116">
        <f>IF(C98&gt;0,E98/C98,"")</f>
        <v/>
      </c>
      <c r="M98">
        <f>IF(C98&lt;&gt;"",IF(C98&lt;=G98,"⚠️ PEDIDO URGENTE",IF(C98&lt;=G98*1.5,"📦 Planejar Pedido","✅ Estoque OK")),"")</f>
        <v/>
      </c>
    </row>
    <row r="99">
      <c r="E99" s="116" t="n"/>
      <c r="F99" s="116">
        <f>IF(AND(C99&lt;&gt;"",E99&lt;&gt;""),C99*E99,"")</f>
        <v/>
      </c>
      <c r="H99">
        <f>IF(C99="","",IF(C99&lt;=G99,"🔴 REPOR JÁ",IF(C99&lt;=G99*1.5,"🟡 ATENÇÃO","🟢 OK")))</f>
        <v/>
      </c>
      <c r="L99" s="116">
        <f>IF(C99&gt;0,E99/C99,"")</f>
        <v/>
      </c>
      <c r="M99">
        <f>IF(C99&lt;&gt;"",IF(C99&lt;=G99,"⚠️ PEDIDO URGENTE",IF(C99&lt;=G99*1.5,"📦 Planejar Pedido","✅ Estoque OK")),"")</f>
        <v/>
      </c>
    </row>
    <row r="100">
      <c r="E100" s="116" t="n"/>
      <c r="F100" s="116">
        <f>IF(AND(C100&lt;&gt;"",E100&lt;&gt;""),C100*E100,"")</f>
        <v/>
      </c>
      <c r="H100">
        <f>IF(C100="","",IF(C100&lt;=G100,"🔴 REPOR JÁ",IF(C100&lt;=G100*1.5,"🟡 ATENÇÃO","🟢 OK")))</f>
        <v/>
      </c>
      <c r="L100" s="116">
        <f>IF(C100&gt;0,E100/C100,"")</f>
        <v/>
      </c>
      <c r="M100">
        <f>IF(C100&lt;&gt;"",IF(C100&lt;=G100,"⚠️ PEDIDO URGENTE",IF(C100&lt;=G100*1.5,"📦 Planejar Pedido","✅ Estoque OK")),"")</f>
        <v/>
      </c>
    </row>
    <row r="101">
      <c r="E101" s="116" t="n"/>
      <c r="F101" s="116">
        <f>IF(AND(C101&lt;&gt;"",E101&lt;&gt;""),C101*E101,"")</f>
        <v/>
      </c>
      <c r="H101">
        <f>IF(C101="","",IF(C101&lt;=G101,"🔴 REPOR JÁ",IF(C101&lt;=G101*1.5,"🟡 ATENÇÃO","🟢 OK")))</f>
        <v/>
      </c>
      <c r="L101" s="116">
        <f>IF(C101&gt;0,E101/C101,"")</f>
        <v/>
      </c>
      <c r="M101">
        <f>IF(C101&lt;&gt;"",IF(C101&lt;=G101,"⚠️ PEDIDO URGENTE",IF(C101&lt;=G101*1.5,"📦 Planejar Pedido","✅ Estoque OK")),"")</f>
        <v/>
      </c>
    </row>
    <row r="102">
      <c r="E102" s="116" t="n"/>
      <c r="F102" s="116">
        <f>IF(AND(C102&lt;&gt;"",E102&lt;&gt;""),C102*E102,"")</f>
        <v/>
      </c>
      <c r="H102">
        <f>IF(C102="","",IF(C102&lt;=G102,"🔴 REPOR JÁ",IF(C102&lt;=G102*1.5,"🟡 ATENÇÃO","🟢 OK")))</f>
        <v/>
      </c>
      <c r="L102" s="116">
        <f>IF(C102&gt;0,E102/C102,"")</f>
        <v/>
      </c>
      <c r="M102">
        <f>IF(C102&lt;&gt;"",IF(C102&lt;=G102,"⚠️ PEDIDO URGENTE",IF(C102&lt;=G102*1.5,"📦 Planejar Pedido","✅ Estoque OK")),"")</f>
        <v/>
      </c>
    </row>
    <row r="103">
      <c r="E103" s="116" t="n"/>
      <c r="F103" s="116">
        <f>IF(AND(C103&lt;&gt;"",E103&lt;&gt;""),C103*E103,"")</f>
        <v/>
      </c>
      <c r="H103">
        <f>IF(C103="","",IF(C103&lt;=G103,"🔴 REPOR JÁ",IF(C103&lt;=G103*1.5,"🟡 ATENÇÃO","🟢 OK")))</f>
        <v/>
      </c>
      <c r="L103" s="116">
        <f>IF(C103&gt;0,E103/C103,"")</f>
        <v/>
      </c>
      <c r="M103">
        <f>IF(C103&lt;&gt;"",IF(C103&lt;=G103,"⚠️ PEDIDO URGENTE",IF(C103&lt;=G103*1.5,"📦 Planejar Pedido","✅ Estoque OK")),"")</f>
        <v/>
      </c>
    </row>
    <row r="104">
      <c r="E104" s="116" t="n"/>
      <c r="F104" s="116">
        <f>IF(AND(C104&lt;&gt;"",E104&lt;&gt;""),C104*E104,"")</f>
        <v/>
      </c>
      <c r="H104">
        <f>IF(C104="","",IF(C104&lt;=G104,"🔴 REPOR JÁ",IF(C104&lt;=G104*1.5,"🟡 ATENÇÃO","🟢 OK")))</f>
        <v/>
      </c>
      <c r="L104" s="116">
        <f>IF(C104&gt;0,E104/C104,"")</f>
        <v/>
      </c>
      <c r="M104">
        <f>IF(C104&lt;&gt;"",IF(C104&lt;=G104,"⚠️ PEDIDO URGENTE",IF(C104&lt;=G104*1.5,"📦 Planejar Pedido","✅ Estoque OK")),"")</f>
        <v/>
      </c>
    </row>
    <row r="105">
      <c r="E105" s="116" t="n"/>
      <c r="F105" s="116">
        <f>IF(AND(C105&lt;&gt;"",E105&lt;&gt;""),C105*E105,"")</f>
        <v/>
      </c>
      <c r="H105">
        <f>IF(C105="","",IF(C105&lt;=G105,"🔴 REPOR JÁ",IF(C105&lt;=G105*1.5,"🟡 ATENÇÃO","🟢 OK")))</f>
        <v/>
      </c>
      <c r="L105" s="116">
        <f>IF(C105&gt;0,E105/C105,"")</f>
        <v/>
      </c>
      <c r="M105">
        <f>IF(C105&lt;&gt;"",IF(C105&lt;=G105,"⚠️ PEDIDO URGENTE",IF(C105&lt;=G105*1.5,"📦 Planejar Pedido","✅ Estoque OK")),"")</f>
        <v/>
      </c>
    </row>
    <row r="106">
      <c r="E106" s="116" t="n"/>
      <c r="F106" s="116">
        <f>IF(AND(C106&lt;&gt;"",E106&lt;&gt;""),C106*E106,"")</f>
        <v/>
      </c>
      <c r="H106">
        <f>IF(C106="","",IF(C106&lt;=G106,"🔴 REPOR JÁ",IF(C106&lt;=G106*1.5,"🟡 ATENÇÃO","🟢 OK")))</f>
        <v/>
      </c>
      <c r="L106" s="116">
        <f>IF(C106&gt;0,E106/C106,"")</f>
        <v/>
      </c>
      <c r="M106">
        <f>IF(C106&lt;&gt;"",IF(C106&lt;=G106,"⚠️ PEDIDO URGENTE",IF(C106&lt;=G106*1.5,"📦 Planejar Pedido","✅ Estoque OK")),"")</f>
        <v/>
      </c>
    </row>
    <row r="107">
      <c r="E107" s="116" t="n"/>
      <c r="F107" s="116">
        <f>IF(AND(C107&lt;&gt;"",E107&lt;&gt;""),C107*E107,"")</f>
        <v/>
      </c>
      <c r="H107">
        <f>IF(C107="","",IF(C107&lt;=G107,"🔴 REPOR JÁ",IF(C107&lt;=G107*1.5,"🟡 ATENÇÃO","🟢 OK")))</f>
        <v/>
      </c>
      <c r="L107" s="116">
        <f>IF(C107&gt;0,E107/C107,"")</f>
        <v/>
      </c>
      <c r="M107">
        <f>IF(C107&lt;&gt;"",IF(C107&lt;=G107,"⚠️ PEDIDO URGENTE",IF(C107&lt;=G107*1.5,"📦 Planejar Pedido","✅ Estoque OK")),"")</f>
        <v/>
      </c>
    </row>
    <row r="108">
      <c r="E108" s="116" t="n"/>
      <c r="F108" s="116">
        <f>IF(AND(C108&lt;&gt;"",E108&lt;&gt;""),C108*E108,"")</f>
        <v/>
      </c>
      <c r="H108">
        <f>IF(C108="","",IF(C108&lt;=G108,"🔴 REPOR JÁ",IF(C108&lt;=G108*1.5,"🟡 ATENÇÃO","🟢 OK")))</f>
        <v/>
      </c>
      <c r="L108" s="116">
        <f>IF(C108&gt;0,E108/C108,"")</f>
        <v/>
      </c>
      <c r="M108">
        <f>IF(C108&lt;&gt;"",IF(C108&lt;=G108,"⚠️ PEDIDO URGENTE",IF(C108&lt;=G108*1.5,"📦 Planejar Pedido","✅ Estoque OK")),"")</f>
        <v/>
      </c>
    </row>
    <row r="109">
      <c r="E109" s="116" t="n"/>
      <c r="F109" s="116">
        <f>IF(AND(C109&lt;&gt;"",E109&lt;&gt;""),C109*E109,"")</f>
        <v/>
      </c>
      <c r="H109">
        <f>IF(C109="","",IF(C109&lt;=G109,"🔴 REPOR JÁ",IF(C109&lt;=G109*1.5,"🟡 ATENÇÃO","🟢 OK")))</f>
        <v/>
      </c>
      <c r="L109" s="116">
        <f>IF(C109&gt;0,E109/C109,"")</f>
        <v/>
      </c>
      <c r="M109">
        <f>IF(C109&lt;&gt;"",IF(C109&lt;=G109,"⚠️ PEDIDO URGENTE",IF(C109&lt;=G109*1.5,"📦 Planejar Pedido","✅ Estoque OK")),"")</f>
        <v/>
      </c>
    </row>
    <row r="110">
      <c r="E110" s="116" t="n"/>
      <c r="F110" s="116">
        <f>IF(AND(C110&lt;&gt;"",E110&lt;&gt;""),C110*E110,"")</f>
        <v/>
      </c>
      <c r="H110">
        <f>IF(C110="","",IF(C110&lt;=G110,"🔴 REPOR JÁ",IF(C110&lt;=G110*1.5,"🟡 ATENÇÃO","🟢 OK")))</f>
        <v/>
      </c>
      <c r="L110" s="116">
        <f>IF(C110&gt;0,E110/C110,"")</f>
        <v/>
      </c>
      <c r="M110">
        <f>IF(C110&lt;&gt;"",IF(C110&lt;=G110,"⚠️ PEDIDO URGENTE",IF(C110&lt;=G110*1.5,"📦 Planejar Pedido","✅ Estoque OK")),"")</f>
        <v/>
      </c>
    </row>
    <row r="111">
      <c r="E111" s="116" t="n"/>
      <c r="F111" s="116">
        <f>IF(AND(C111&lt;&gt;"",E111&lt;&gt;""),C111*E111,"")</f>
        <v/>
      </c>
      <c r="H111">
        <f>IF(C111="","",IF(C111&lt;=G111,"🔴 REPOR JÁ",IF(C111&lt;=G111*1.5,"🟡 ATENÇÃO","🟢 OK")))</f>
        <v/>
      </c>
      <c r="L111" s="116">
        <f>IF(C111&gt;0,E111/C111,"")</f>
        <v/>
      </c>
      <c r="M111">
        <f>IF(C111&lt;&gt;"",IF(C111&lt;=G111,"⚠️ PEDIDO URGENTE",IF(C111&lt;=G111*1.5,"📦 Planejar Pedido","✅ Estoque OK")),"")</f>
        <v/>
      </c>
    </row>
    <row r="112">
      <c r="E112" s="116" t="n"/>
      <c r="F112" s="116">
        <f>IF(AND(C112&lt;&gt;"",E112&lt;&gt;""),C112*E112,"")</f>
        <v/>
      </c>
      <c r="H112">
        <f>IF(C112="","",IF(C112&lt;=G112,"🔴 REPOR JÁ",IF(C112&lt;=G112*1.5,"🟡 ATENÇÃO","🟢 OK")))</f>
        <v/>
      </c>
      <c r="L112" s="116">
        <f>IF(C112&gt;0,E112/C112,"")</f>
        <v/>
      </c>
      <c r="M112">
        <f>IF(C112&lt;&gt;"",IF(C112&lt;=G112,"⚠️ PEDIDO URGENTE",IF(C112&lt;=G112*1.5,"📦 Planejar Pedido","✅ Estoque OK")),"")</f>
        <v/>
      </c>
    </row>
    <row r="113">
      <c r="E113" s="116" t="n"/>
      <c r="F113" s="116">
        <f>IF(AND(C113&lt;&gt;"",E113&lt;&gt;""),C113*E113,"")</f>
        <v/>
      </c>
      <c r="H113">
        <f>IF(C113="","",IF(C113&lt;=G113,"🔴 REPOR JÁ",IF(C113&lt;=G113*1.5,"🟡 ATENÇÃO","🟢 OK")))</f>
        <v/>
      </c>
      <c r="L113" s="116">
        <f>IF(C113&gt;0,E113/C113,"")</f>
        <v/>
      </c>
      <c r="M113">
        <f>IF(C113&lt;&gt;"",IF(C113&lt;=G113,"⚠️ PEDIDO URGENTE",IF(C113&lt;=G113*1.5,"📦 Planejar Pedido","✅ Estoque OK")),"")</f>
        <v/>
      </c>
    </row>
    <row r="114">
      <c r="E114" s="116" t="n"/>
      <c r="F114" s="116">
        <f>IF(AND(C114&lt;&gt;"",E114&lt;&gt;""),C114*E114,"")</f>
        <v/>
      </c>
      <c r="H114">
        <f>IF(C114="","",IF(C114&lt;=G114,"🔴 REPOR JÁ",IF(C114&lt;=G114*1.5,"🟡 ATENÇÃO","🟢 OK")))</f>
        <v/>
      </c>
      <c r="L114" s="116">
        <f>IF(C114&gt;0,E114/C114,"")</f>
        <v/>
      </c>
      <c r="M114">
        <f>IF(C114&lt;&gt;"",IF(C114&lt;=G114,"⚠️ PEDIDO URGENTE",IF(C114&lt;=G114*1.5,"📦 Planejar Pedido","✅ Estoque OK")),"")</f>
        <v/>
      </c>
    </row>
    <row r="115">
      <c r="E115" s="116" t="n"/>
      <c r="F115" s="116">
        <f>IF(AND(C115&lt;&gt;"",E115&lt;&gt;""),C115*E115,"")</f>
        <v/>
      </c>
      <c r="H115">
        <f>IF(C115="","",IF(C115&lt;=G115,"🔴 REPOR JÁ",IF(C115&lt;=G115*1.5,"🟡 ATENÇÃO","🟢 OK")))</f>
        <v/>
      </c>
      <c r="L115" s="116">
        <f>IF(C115&gt;0,E115/C115,"")</f>
        <v/>
      </c>
      <c r="M115">
        <f>IF(C115&lt;&gt;"",IF(C115&lt;=G115,"⚠️ PEDIDO URGENTE",IF(C115&lt;=G115*1.5,"📦 Planejar Pedido","✅ Estoque OK")),"")</f>
        <v/>
      </c>
    </row>
    <row r="116">
      <c r="E116" s="116" t="n"/>
      <c r="F116" s="116">
        <f>IF(AND(C116&lt;&gt;"",E116&lt;&gt;""),C116*E116,"")</f>
        <v/>
      </c>
      <c r="H116">
        <f>IF(C116="","",IF(C116&lt;=G116,"🔴 REPOR JÁ",IF(C116&lt;=G116*1.5,"🟡 ATENÇÃO","🟢 OK")))</f>
        <v/>
      </c>
      <c r="L116" s="116">
        <f>IF(C116&gt;0,E116/C116,"")</f>
        <v/>
      </c>
      <c r="M116">
        <f>IF(C116&lt;&gt;"",IF(C116&lt;=G116,"⚠️ PEDIDO URGENTE",IF(C116&lt;=G116*1.5,"📦 Planejar Pedido","✅ Estoque OK")),"")</f>
        <v/>
      </c>
    </row>
    <row r="117">
      <c r="E117" s="116" t="n"/>
      <c r="F117" s="116">
        <f>IF(AND(C117&lt;&gt;"",E117&lt;&gt;""),C117*E117,"")</f>
        <v/>
      </c>
      <c r="H117">
        <f>IF(C117="","",IF(C117&lt;=G117,"🔴 REPOR JÁ",IF(C117&lt;=G117*1.5,"🟡 ATENÇÃO","🟢 OK")))</f>
        <v/>
      </c>
      <c r="L117" s="116">
        <f>IF(C117&gt;0,E117/C117,"")</f>
        <v/>
      </c>
      <c r="M117">
        <f>IF(C117&lt;&gt;"",IF(C117&lt;=G117,"⚠️ PEDIDO URGENTE",IF(C117&lt;=G117*1.5,"📦 Planejar Pedido","✅ Estoque OK")),"")</f>
        <v/>
      </c>
    </row>
    <row r="118">
      <c r="E118" s="116" t="n"/>
      <c r="F118" s="116">
        <f>IF(AND(C118&lt;&gt;"",E118&lt;&gt;""),C118*E118,"")</f>
        <v/>
      </c>
      <c r="H118">
        <f>IF(C118="","",IF(C118&lt;=G118,"🔴 REPOR JÁ",IF(C118&lt;=G118*1.5,"🟡 ATENÇÃO","🟢 OK")))</f>
        <v/>
      </c>
      <c r="L118" s="116">
        <f>IF(C118&gt;0,E118/C118,"")</f>
        <v/>
      </c>
      <c r="M118">
        <f>IF(C118&lt;&gt;"",IF(C118&lt;=G118,"⚠️ PEDIDO URGENTE",IF(C118&lt;=G118*1.5,"📦 Planejar Pedido","✅ Estoque OK")),"")</f>
        <v/>
      </c>
    </row>
    <row r="119">
      <c r="E119" s="116" t="n"/>
      <c r="F119" s="116">
        <f>IF(AND(C119&lt;&gt;"",E119&lt;&gt;""),C119*E119,"")</f>
        <v/>
      </c>
      <c r="H119">
        <f>IF(C119="","",IF(C119&lt;=G119,"🔴 REPOR JÁ",IF(C119&lt;=G119*1.5,"🟡 ATENÇÃO","🟢 OK")))</f>
        <v/>
      </c>
      <c r="L119" s="116">
        <f>IF(C119&gt;0,E119/C119,"")</f>
        <v/>
      </c>
      <c r="M119">
        <f>IF(C119&lt;&gt;"",IF(C119&lt;=G119,"⚠️ PEDIDO URGENTE",IF(C119&lt;=G119*1.5,"📦 Planejar Pedido","✅ Estoque OK")),"")</f>
        <v/>
      </c>
    </row>
    <row r="120">
      <c r="E120" s="116" t="n"/>
      <c r="F120" s="116">
        <f>IF(AND(C120&lt;&gt;"",E120&lt;&gt;""),C120*E120,"")</f>
        <v/>
      </c>
      <c r="H120">
        <f>IF(C120="","",IF(C120&lt;=G120,"🔴 REPOR JÁ",IF(C120&lt;=G120*1.5,"🟡 ATENÇÃO","🟢 OK")))</f>
        <v/>
      </c>
      <c r="L120" s="116">
        <f>IF(C120&gt;0,E120/C120,"")</f>
        <v/>
      </c>
      <c r="M120">
        <f>IF(C120&lt;&gt;"",IF(C120&lt;=G120,"⚠️ PEDIDO URGENTE",IF(C120&lt;=G120*1.5,"📦 Planejar Pedido","✅ Estoque OK")),"")</f>
        <v/>
      </c>
    </row>
    <row r="121">
      <c r="E121" s="116" t="n"/>
      <c r="F121" s="116">
        <f>IF(AND(C121&lt;&gt;"",E121&lt;&gt;""),C121*E121,"")</f>
        <v/>
      </c>
      <c r="H121">
        <f>IF(C121="","",IF(C121&lt;=G121,"🔴 REPOR JÁ",IF(C121&lt;=G121*1.5,"🟡 ATENÇÃO","🟢 OK")))</f>
        <v/>
      </c>
      <c r="L121" s="116">
        <f>IF(C121&gt;0,E121/C121,"")</f>
        <v/>
      </c>
      <c r="M121">
        <f>IF(C121&lt;&gt;"",IF(C121&lt;=G121,"⚠️ PEDIDO URGENTE",IF(C121&lt;=G121*1.5,"📦 Planejar Pedido","✅ Estoque OK")),"")</f>
        <v/>
      </c>
    </row>
    <row r="122">
      <c r="E122" s="116" t="n"/>
      <c r="F122" s="116">
        <f>IF(AND(C122&lt;&gt;"",E122&lt;&gt;""),C122*E122,"")</f>
        <v/>
      </c>
      <c r="H122">
        <f>IF(C122="","",IF(C122&lt;=G122,"🔴 REPOR JÁ",IF(C122&lt;=G122*1.5,"🟡 ATENÇÃO","🟢 OK")))</f>
        <v/>
      </c>
      <c r="L122" s="116">
        <f>IF(C122&gt;0,E122/C122,"")</f>
        <v/>
      </c>
      <c r="M122">
        <f>IF(C122&lt;&gt;"",IF(C122&lt;=G122,"⚠️ PEDIDO URGENTE",IF(C122&lt;=G122*1.5,"📦 Planejar Pedido","✅ Estoque OK")),"")</f>
        <v/>
      </c>
    </row>
    <row r="123">
      <c r="E123" s="116" t="n"/>
      <c r="F123" s="116">
        <f>IF(AND(C123&lt;&gt;"",E123&lt;&gt;""),C123*E123,"")</f>
        <v/>
      </c>
      <c r="H123">
        <f>IF(C123="","",IF(C123&lt;=G123,"🔴 REPOR JÁ",IF(C123&lt;=G123*1.5,"🟡 ATENÇÃO","🟢 OK")))</f>
        <v/>
      </c>
      <c r="L123" s="116">
        <f>IF(C123&gt;0,E123/C123,"")</f>
        <v/>
      </c>
      <c r="M123">
        <f>IF(C123&lt;&gt;"",IF(C123&lt;=G123,"⚠️ PEDIDO URGENTE",IF(C123&lt;=G123*1.5,"📦 Planejar Pedido","✅ Estoque OK")),"")</f>
        <v/>
      </c>
    </row>
    <row r="124">
      <c r="E124" s="116" t="n"/>
      <c r="F124" s="116">
        <f>IF(AND(C124&lt;&gt;"",E124&lt;&gt;""),C124*E124,"")</f>
        <v/>
      </c>
      <c r="H124">
        <f>IF(C124="","",IF(C124&lt;=G124,"🔴 REPOR JÁ",IF(C124&lt;=G124*1.5,"🟡 ATENÇÃO","🟢 OK")))</f>
        <v/>
      </c>
      <c r="L124" s="116">
        <f>IF(C124&gt;0,E124/C124,"")</f>
        <v/>
      </c>
      <c r="M124">
        <f>IF(C124&lt;&gt;"",IF(C124&lt;=G124,"⚠️ PEDIDO URGENTE",IF(C124&lt;=G124*1.5,"📦 Planejar Pedido","✅ Estoque OK")),"")</f>
        <v/>
      </c>
    </row>
    <row r="125">
      <c r="E125" s="116" t="n"/>
      <c r="F125" s="116">
        <f>IF(AND(C125&lt;&gt;"",E125&lt;&gt;""),C125*E125,"")</f>
        <v/>
      </c>
      <c r="H125">
        <f>IF(C125="","",IF(C125&lt;=G125,"🔴 REPOR JÁ",IF(C125&lt;=G125*1.5,"🟡 ATENÇÃO","🟢 OK")))</f>
        <v/>
      </c>
      <c r="L125" s="116">
        <f>IF(C125&gt;0,E125/C125,"")</f>
        <v/>
      </c>
      <c r="M125">
        <f>IF(C125&lt;&gt;"",IF(C125&lt;=G125,"⚠️ PEDIDO URGENTE",IF(C125&lt;=G125*1.5,"📦 Planejar Pedido","✅ Estoque OK")),"")</f>
        <v/>
      </c>
    </row>
    <row r="126">
      <c r="E126" s="116" t="n"/>
      <c r="F126" s="116">
        <f>IF(AND(C126&lt;&gt;"",E126&lt;&gt;""),C126*E126,"")</f>
        <v/>
      </c>
      <c r="H126">
        <f>IF(C126="","",IF(C126&lt;=G126,"🔴 REPOR JÁ",IF(C126&lt;=G126*1.5,"🟡 ATENÇÃO","🟢 OK")))</f>
        <v/>
      </c>
      <c r="L126" s="116">
        <f>IF(C126&gt;0,E126/C126,"")</f>
        <v/>
      </c>
      <c r="M126">
        <f>IF(C126&lt;&gt;"",IF(C126&lt;=G126,"⚠️ PEDIDO URGENTE",IF(C126&lt;=G126*1.5,"📦 Planejar Pedido","✅ Estoque OK")),"")</f>
        <v/>
      </c>
    </row>
    <row r="127">
      <c r="E127" s="116" t="n"/>
      <c r="F127" s="116">
        <f>IF(AND(C127&lt;&gt;"",E127&lt;&gt;""),C127*E127,"")</f>
        <v/>
      </c>
      <c r="H127">
        <f>IF(C127="","",IF(C127&lt;=G127,"🔴 REPOR JÁ",IF(C127&lt;=G127*1.5,"🟡 ATENÇÃO","🟢 OK")))</f>
        <v/>
      </c>
      <c r="L127" s="116">
        <f>IF(C127&gt;0,E127/C127,"")</f>
        <v/>
      </c>
      <c r="M127">
        <f>IF(C127&lt;&gt;"",IF(C127&lt;=G127,"⚠️ PEDIDO URGENTE",IF(C127&lt;=G127*1.5,"📦 Planejar Pedido","✅ Estoque OK")),"")</f>
        <v/>
      </c>
    </row>
    <row r="128">
      <c r="E128" s="116" t="n"/>
      <c r="F128" s="116">
        <f>IF(AND(C128&lt;&gt;"",E128&lt;&gt;""),C128*E128,"")</f>
        <v/>
      </c>
      <c r="H128">
        <f>IF(C128="","",IF(C128&lt;=G128,"🔴 REPOR JÁ",IF(C128&lt;=G128*1.5,"🟡 ATENÇÃO","🟢 OK")))</f>
        <v/>
      </c>
      <c r="L128" s="116">
        <f>IF(C128&gt;0,E128/C128,"")</f>
        <v/>
      </c>
      <c r="M128">
        <f>IF(C128&lt;&gt;"",IF(C128&lt;=G128,"⚠️ PEDIDO URGENTE",IF(C128&lt;=G128*1.5,"📦 Planejar Pedido","✅ Estoque OK")),"")</f>
        <v/>
      </c>
    </row>
    <row r="129">
      <c r="E129" s="116" t="n"/>
      <c r="F129" s="116">
        <f>IF(AND(C129&lt;&gt;"",E129&lt;&gt;""),C129*E129,"")</f>
        <v/>
      </c>
      <c r="H129">
        <f>IF(C129="","",IF(C129&lt;=G129,"🔴 REPOR JÁ",IF(C129&lt;=G129*1.5,"🟡 ATENÇÃO","🟢 OK")))</f>
        <v/>
      </c>
      <c r="L129" s="116">
        <f>IF(C129&gt;0,E129/C129,"")</f>
        <v/>
      </c>
      <c r="M129">
        <f>IF(C129&lt;&gt;"",IF(C129&lt;=G129,"⚠️ PEDIDO URGENTE",IF(C129&lt;=G129*1.5,"📦 Planejar Pedido","✅ Estoque OK")),"")</f>
        <v/>
      </c>
    </row>
    <row r="130">
      <c r="E130" s="116" t="n"/>
      <c r="F130" s="116">
        <f>IF(AND(C130&lt;&gt;"",E130&lt;&gt;""),C130*E130,"")</f>
        <v/>
      </c>
      <c r="H130">
        <f>IF(C130="","",IF(C130&lt;=G130,"🔴 REPOR JÁ",IF(C130&lt;=G130*1.5,"🟡 ATENÇÃO","🟢 OK")))</f>
        <v/>
      </c>
      <c r="L130" s="116">
        <f>IF(C130&gt;0,E130/C130,"")</f>
        <v/>
      </c>
      <c r="M130">
        <f>IF(C130&lt;&gt;"",IF(C130&lt;=G130,"⚠️ PEDIDO URGENTE",IF(C130&lt;=G130*1.5,"📦 Planejar Pedido","✅ Estoque OK")),"")</f>
        <v/>
      </c>
    </row>
    <row r="131">
      <c r="E131" s="116" t="n"/>
      <c r="F131" s="116">
        <f>IF(AND(C131&lt;&gt;"",E131&lt;&gt;""),C131*E131,"")</f>
        <v/>
      </c>
      <c r="H131">
        <f>IF(C131="","",IF(C131&lt;=G131,"🔴 REPOR JÁ",IF(C131&lt;=G131*1.5,"🟡 ATENÇÃO","🟢 OK")))</f>
        <v/>
      </c>
      <c r="L131" s="116">
        <f>IF(C131&gt;0,E131/C131,"")</f>
        <v/>
      </c>
      <c r="M131">
        <f>IF(C131&lt;&gt;"",IF(C131&lt;=G131,"⚠️ PEDIDO URGENTE",IF(C131&lt;=G131*1.5,"📦 Planejar Pedido","✅ Estoque OK")),"")</f>
        <v/>
      </c>
    </row>
    <row r="132">
      <c r="E132" s="116" t="n"/>
      <c r="F132" s="116">
        <f>IF(AND(C132&lt;&gt;"",E132&lt;&gt;""),C132*E132,"")</f>
        <v/>
      </c>
      <c r="H132">
        <f>IF(C132="","",IF(C132&lt;=G132,"🔴 REPOR JÁ",IF(C132&lt;=G132*1.5,"🟡 ATENÇÃO","🟢 OK")))</f>
        <v/>
      </c>
      <c r="L132" s="116">
        <f>IF(C132&gt;0,E132/C132,"")</f>
        <v/>
      </c>
      <c r="M132">
        <f>IF(C132&lt;&gt;"",IF(C132&lt;=G132,"⚠️ PEDIDO URGENTE",IF(C132&lt;=G132*1.5,"📦 Planejar Pedido","✅ Estoque OK")),"")</f>
        <v/>
      </c>
    </row>
    <row r="133">
      <c r="E133" s="116" t="n"/>
      <c r="F133" s="116">
        <f>IF(AND(C133&lt;&gt;"",E133&lt;&gt;""),C133*E133,"")</f>
        <v/>
      </c>
      <c r="H133">
        <f>IF(C133="","",IF(C133&lt;=G133,"🔴 REPOR JÁ",IF(C133&lt;=G133*1.5,"🟡 ATENÇÃO","🟢 OK")))</f>
        <v/>
      </c>
      <c r="L133" s="116">
        <f>IF(C133&gt;0,E133/C133,"")</f>
        <v/>
      </c>
      <c r="M133">
        <f>IF(C133&lt;&gt;"",IF(C133&lt;=G133,"⚠️ PEDIDO URGENTE",IF(C133&lt;=G133*1.5,"📦 Planejar Pedido","✅ Estoque OK")),"")</f>
        <v/>
      </c>
    </row>
    <row r="134">
      <c r="E134" s="116" t="n"/>
      <c r="F134" s="116">
        <f>IF(AND(C134&lt;&gt;"",E134&lt;&gt;""),C134*E134,"")</f>
        <v/>
      </c>
      <c r="H134">
        <f>IF(C134="","",IF(C134&lt;=G134,"🔴 REPOR JÁ",IF(C134&lt;=G134*1.5,"🟡 ATENÇÃO","🟢 OK")))</f>
        <v/>
      </c>
      <c r="L134" s="116">
        <f>IF(C134&gt;0,E134/C134,"")</f>
        <v/>
      </c>
      <c r="M134">
        <f>IF(C134&lt;&gt;"",IF(C134&lt;=G134,"⚠️ PEDIDO URGENTE",IF(C134&lt;=G134*1.5,"📦 Planejar Pedido","✅ Estoque OK")),"")</f>
        <v/>
      </c>
    </row>
    <row r="135">
      <c r="E135" s="116" t="n"/>
      <c r="F135" s="116">
        <f>IF(AND(C135&lt;&gt;"",E135&lt;&gt;""),C135*E135,"")</f>
        <v/>
      </c>
      <c r="H135">
        <f>IF(C135="","",IF(C135&lt;=G135,"🔴 REPOR JÁ",IF(C135&lt;=G135*1.5,"🟡 ATENÇÃO","🟢 OK")))</f>
        <v/>
      </c>
      <c r="L135" s="116">
        <f>IF(C135&gt;0,E135/C135,"")</f>
        <v/>
      </c>
      <c r="M135">
        <f>IF(C135&lt;&gt;"",IF(C135&lt;=G135,"⚠️ PEDIDO URGENTE",IF(C135&lt;=G135*1.5,"📦 Planejar Pedido","✅ Estoque OK")),"")</f>
        <v/>
      </c>
    </row>
    <row r="136">
      <c r="E136" s="116" t="n"/>
      <c r="F136" s="116">
        <f>IF(AND(C136&lt;&gt;"",E136&lt;&gt;""),C136*E136,"")</f>
        <v/>
      </c>
      <c r="H136">
        <f>IF(C136="","",IF(C136&lt;=G136,"🔴 REPOR JÁ",IF(C136&lt;=G136*1.5,"🟡 ATENÇÃO","🟢 OK")))</f>
        <v/>
      </c>
      <c r="L136" s="116">
        <f>IF(C136&gt;0,E136/C136,"")</f>
        <v/>
      </c>
      <c r="M136">
        <f>IF(C136&lt;&gt;"",IF(C136&lt;=G136,"⚠️ PEDIDO URGENTE",IF(C136&lt;=G136*1.5,"📦 Planejar Pedido","✅ Estoque OK")),"")</f>
        <v/>
      </c>
    </row>
    <row r="137">
      <c r="E137" s="116" t="n"/>
      <c r="F137" s="116">
        <f>IF(AND(C137&lt;&gt;"",E137&lt;&gt;""),C137*E137,"")</f>
        <v/>
      </c>
      <c r="H137">
        <f>IF(C137="","",IF(C137&lt;=G137,"🔴 REPOR JÁ",IF(C137&lt;=G137*1.5,"🟡 ATENÇÃO","🟢 OK")))</f>
        <v/>
      </c>
      <c r="L137" s="116">
        <f>IF(C137&gt;0,E137/C137,"")</f>
        <v/>
      </c>
      <c r="M137">
        <f>IF(C137&lt;&gt;"",IF(C137&lt;=G137,"⚠️ PEDIDO URGENTE",IF(C137&lt;=G137*1.5,"📦 Planejar Pedido","✅ Estoque OK")),"")</f>
        <v/>
      </c>
    </row>
    <row r="138">
      <c r="E138" s="116" t="n"/>
      <c r="F138" s="116">
        <f>IF(AND(C138&lt;&gt;"",E138&lt;&gt;""),C138*E138,"")</f>
        <v/>
      </c>
      <c r="H138">
        <f>IF(C138="","",IF(C138&lt;=G138,"🔴 REPOR JÁ",IF(C138&lt;=G138*1.5,"🟡 ATENÇÃO","🟢 OK")))</f>
        <v/>
      </c>
      <c r="L138" s="116">
        <f>IF(C138&gt;0,E138/C138,"")</f>
        <v/>
      </c>
      <c r="M138">
        <f>IF(C138&lt;&gt;"",IF(C138&lt;=G138,"⚠️ PEDIDO URGENTE",IF(C138&lt;=G138*1.5,"📦 Planejar Pedido","✅ Estoque OK")),"")</f>
        <v/>
      </c>
    </row>
    <row r="139">
      <c r="E139" s="116" t="n"/>
      <c r="F139" s="116">
        <f>IF(AND(C139&lt;&gt;"",E139&lt;&gt;""),C139*E139,"")</f>
        <v/>
      </c>
      <c r="H139">
        <f>IF(C139="","",IF(C139&lt;=G139,"🔴 REPOR JÁ",IF(C139&lt;=G139*1.5,"🟡 ATENÇÃO","🟢 OK")))</f>
        <v/>
      </c>
      <c r="L139" s="116">
        <f>IF(C139&gt;0,E139/C139,"")</f>
        <v/>
      </c>
      <c r="M139">
        <f>IF(C139&lt;&gt;"",IF(C139&lt;=G139,"⚠️ PEDIDO URGENTE",IF(C139&lt;=G139*1.5,"📦 Planejar Pedido","✅ Estoque OK")),"")</f>
        <v/>
      </c>
    </row>
    <row r="140">
      <c r="E140" s="116" t="n"/>
      <c r="F140" s="116">
        <f>IF(AND(C140&lt;&gt;"",E140&lt;&gt;""),C140*E140,"")</f>
        <v/>
      </c>
      <c r="H140">
        <f>IF(C140="","",IF(C140&lt;=G140,"🔴 REPOR JÁ",IF(C140&lt;=G140*1.5,"🟡 ATENÇÃO","🟢 OK")))</f>
        <v/>
      </c>
      <c r="L140" s="116">
        <f>IF(C140&gt;0,E140/C140,"")</f>
        <v/>
      </c>
      <c r="M140">
        <f>IF(C140&lt;&gt;"",IF(C140&lt;=G140,"⚠️ PEDIDO URGENTE",IF(C140&lt;=G140*1.5,"📦 Planejar Pedido","✅ Estoque OK")),"")</f>
        <v/>
      </c>
    </row>
    <row r="141">
      <c r="E141" s="116" t="n"/>
      <c r="F141" s="116">
        <f>IF(AND(C141&lt;&gt;"",E141&lt;&gt;""),C141*E141,"")</f>
        <v/>
      </c>
      <c r="H141">
        <f>IF(C141="","",IF(C141&lt;=G141,"🔴 REPOR JÁ",IF(C141&lt;=G141*1.5,"🟡 ATENÇÃO","🟢 OK")))</f>
        <v/>
      </c>
      <c r="L141" s="116">
        <f>IF(C141&gt;0,E141/C141,"")</f>
        <v/>
      </c>
      <c r="M141">
        <f>IF(C141&lt;&gt;"",IF(C141&lt;=G141,"⚠️ PEDIDO URGENTE",IF(C141&lt;=G141*1.5,"📦 Planejar Pedido","✅ Estoque OK")),"")</f>
        <v/>
      </c>
    </row>
    <row r="142">
      <c r="E142" s="116" t="n"/>
      <c r="F142" s="116">
        <f>IF(AND(C142&lt;&gt;"",E142&lt;&gt;""),C142*E142,"")</f>
        <v/>
      </c>
      <c r="H142">
        <f>IF(C142="","",IF(C142&lt;=G142,"🔴 REPOR JÁ",IF(C142&lt;=G142*1.5,"🟡 ATENÇÃO","🟢 OK")))</f>
        <v/>
      </c>
      <c r="L142" s="116">
        <f>IF(C142&gt;0,E142/C142,"")</f>
        <v/>
      </c>
      <c r="M142">
        <f>IF(C142&lt;&gt;"",IF(C142&lt;=G142,"⚠️ PEDIDO URGENTE",IF(C142&lt;=G142*1.5,"📦 Planejar Pedido","✅ Estoque OK")),"")</f>
        <v/>
      </c>
    </row>
    <row r="143">
      <c r="E143" s="116" t="n"/>
      <c r="F143" s="116">
        <f>IF(AND(C143&lt;&gt;"",E143&lt;&gt;""),C143*E143,"")</f>
        <v/>
      </c>
      <c r="H143">
        <f>IF(C143="","",IF(C143&lt;=G143,"🔴 REPOR JÁ",IF(C143&lt;=G143*1.5,"🟡 ATENÇÃO","🟢 OK")))</f>
        <v/>
      </c>
      <c r="L143" s="116">
        <f>IF(C143&gt;0,E143/C143,"")</f>
        <v/>
      </c>
      <c r="M143">
        <f>IF(C143&lt;&gt;"",IF(C143&lt;=G143,"⚠️ PEDIDO URGENTE",IF(C143&lt;=G143*1.5,"📦 Planejar Pedido","✅ Estoque OK")),"")</f>
        <v/>
      </c>
    </row>
    <row r="144">
      <c r="E144" s="116" t="n"/>
      <c r="F144" s="116">
        <f>IF(AND(C144&lt;&gt;"",E144&lt;&gt;""),C144*E144,"")</f>
        <v/>
      </c>
      <c r="H144">
        <f>IF(C144="","",IF(C144&lt;=G144,"🔴 REPOR JÁ",IF(C144&lt;=G144*1.5,"🟡 ATENÇÃO","🟢 OK")))</f>
        <v/>
      </c>
      <c r="L144" s="116">
        <f>IF(C144&gt;0,E144/C144,"")</f>
        <v/>
      </c>
      <c r="M144">
        <f>IF(C144&lt;&gt;"",IF(C144&lt;=G144,"⚠️ PEDIDO URGENTE",IF(C144&lt;=G144*1.5,"📦 Planejar Pedido","✅ Estoque OK")),"")</f>
        <v/>
      </c>
    </row>
    <row r="145">
      <c r="E145" s="116" t="n"/>
      <c r="F145" s="116">
        <f>IF(AND(C145&lt;&gt;"",E145&lt;&gt;""),C145*E145,"")</f>
        <v/>
      </c>
      <c r="H145">
        <f>IF(C145="","",IF(C145&lt;=G145,"🔴 REPOR JÁ",IF(C145&lt;=G145*1.5,"🟡 ATENÇÃO","🟢 OK")))</f>
        <v/>
      </c>
      <c r="L145" s="116">
        <f>IF(C145&gt;0,E145/C145,"")</f>
        <v/>
      </c>
      <c r="M145">
        <f>IF(C145&lt;&gt;"",IF(C145&lt;=G145,"⚠️ PEDIDO URGENTE",IF(C145&lt;=G145*1.5,"📦 Planejar Pedido","✅ Estoque OK")),"")</f>
        <v/>
      </c>
    </row>
    <row r="146">
      <c r="E146" s="116" t="n"/>
      <c r="F146" s="116">
        <f>IF(AND(C146&lt;&gt;"",E146&lt;&gt;""),C146*E146,"")</f>
        <v/>
      </c>
      <c r="H146">
        <f>IF(C146="","",IF(C146&lt;=G146,"🔴 REPOR JÁ",IF(C146&lt;=G146*1.5,"🟡 ATENÇÃO","🟢 OK")))</f>
        <v/>
      </c>
      <c r="L146" s="116">
        <f>IF(C146&gt;0,E146/C146,"")</f>
        <v/>
      </c>
      <c r="M146">
        <f>IF(C146&lt;&gt;"",IF(C146&lt;=G146,"⚠️ PEDIDO URGENTE",IF(C146&lt;=G146*1.5,"📦 Planejar Pedido","✅ Estoque OK")),"")</f>
        <v/>
      </c>
    </row>
    <row r="147">
      <c r="E147" s="116" t="n"/>
      <c r="F147" s="116">
        <f>IF(AND(C147&lt;&gt;"",E147&lt;&gt;""),C147*E147,"")</f>
        <v/>
      </c>
      <c r="H147">
        <f>IF(C147="","",IF(C147&lt;=G147,"🔴 REPOR JÁ",IF(C147&lt;=G147*1.5,"🟡 ATENÇÃO","🟢 OK")))</f>
        <v/>
      </c>
      <c r="L147" s="116">
        <f>IF(C147&gt;0,E147/C147,"")</f>
        <v/>
      </c>
      <c r="M147">
        <f>IF(C147&lt;&gt;"",IF(C147&lt;=G147,"⚠️ PEDIDO URGENTE",IF(C147&lt;=G147*1.5,"📦 Planejar Pedido","✅ Estoque OK")),"")</f>
        <v/>
      </c>
    </row>
    <row r="148">
      <c r="E148" s="116" t="n"/>
      <c r="F148" s="116">
        <f>IF(AND(C148&lt;&gt;"",E148&lt;&gt;""),C148*E148,"")</f>
        <v/>
      </c>
      <c r="H148">
        <f>IF(C148="","",IF(C148&lt;=G148,"🔴 REPOR JÁ",IF(C148&lt;=G148*1.5,"🟡 ATENÇÃO","🟢 OK")))</f>
        <v/>
      </c>
      <c r="L148" s="116">
        <f>IF(C148&gt;0,E148/C148,"")</f>
        <v/>
      </c>
      <c r="M148">
        <f>IF(C148&lt;&gt;"",IF(C148&lt;=G148,"⚠️ PEDIDO URGENTE",IF(C148&lt;=G148*1.5,"📦 Planejar Pedido","✅ Estoque OK")),"")</f>
        <v/>
      </c>
    </row>
    <row r="149">
      <c r="E149" s="116" t="n"/>
      <c r="F149" s="116">
        <f>IF(AND(C149&lt;&gt;"",E149&lt;&gt;""),C149*E149,"")</f>
        <v/>
      </c>
      <c r="H149">
        <f>IF(C149="","",IF(C149&lt;=G149,"🔴 REPOR JÁ",IF(C149&lt;=G149*1.5,"🟡 ATENÇÃO","🟢 OK")))</f>
        <v/>
      </c>
      <c r="L149" s="116">
        <f>IF(C149&gt;0,E149/C149,"")</f>
        <v/>
      </c>
      <c r="M149">
        <f>IF(C149&lt;&gt;"",IF(C149&lt;=G149,"⚠️ PEDIDO URGENTE",IF(C149&lt;=G149*1.5,"📦 Planejar Pedido","✅ Estoque OK")),"")</f>
        <v/>
      </c>
    </row>
    <row r="150">
      <c r="E150" s="116" t="n"/>
      <c r="F150" s="116">
        <f>IF(AND(C150&lt;&gt;"",E150&lt;&gt;""),C150*E150,"")</f>
        <v/>
      </c>
      <c r="H150">
        <f>IF(C150="","",IF(C150&lt;=G150,"🔴 REPOR JÁ",IF(C150&lt;=G150*1.5,"🟡 ATENÇÃO","🟢 OK")))</f>
        <v/>
      </c>
      <c r="L150" s="116">
        <f>IF(C150&gt;0,E150/C150,"")</f>
        <v/>
      </c>
      <c r="M150">
        <f>IF(C150&lt;&gt;"",IF(C150&lt;=G150,"⚠️ PEDIDO URGENTE",IF(C150&lt;=G150*1.5,"📦 Planejar Pedido","✅ Estoque OK")),"")</f>
        <v/>
      </c>
    </row>
    <row r="151">
      <c r="E151" s="116" t="n"/>
      <c r="F151" s="116">
        <f>IF(AND(C151&lt;&gt;"",E151&lt;&gt;""),C151*E151,"")</f>
        <v/>
      </c>
      <c r="H151">
        <f>IF(C151="","",IF(C151&lt;=G151,"🔴 REPOR JÁ",IF(C151&lt;=G151*1.5,"🟡 ATENÇÃO","🟢 OK")))</f>
        <v/>
      </c>
      <c r="L151" s="116">
        <f>IF(C151&gt;0,E151/C151,"")</f>
        <v/>
      </c>
      <c r="M151">
        <f>IF(C151&lt;&gt;"",IF(C151&lt;=G151,"⚠️ PEDIDO URGENTE",IF(C151&lt;=G151*1.5,"📦 Planejar Pedido","✅ Estoque OK")),"")</f>
        <v/>
      </c>
    </row>
    <row r="152">
      <c r="E152" s="116" t="n"/>
      <c r="F152" s="116">
        <f>IF(AND(C152&lt;&gt;"",E152&lt;&gt;""),C152*E152,"")</f>
        <v/>
      </c>
      <c r="H152">
        <f>IF(C152="","",IF(C152&lt;=G152,"🔴 REPOR JÁ",IF(C152&lt;=G152*1.5,"🟡 ATENÇÃO","🟢 OK")))</f>
        <v/>
      </c>
      <c r="L152" s="116">
        <f>IF(C152&gt;0,E152/C152,"")</f>
        <v/>
      </c>
      <c r="M152">
        <f>IF(C152&lt;&gt;"",IF(C152&lt;=G152,"⚠️ PEDIDO URGENTE",IF(C152&lt;=G152*1.5,"📦 Planejar Pedido","✅ Estoque OK")),"")</f>
        <v/>
      </c>
    </row>
    <row r="153">
      <c r="E153" s="116" t="n"/>
      <c r="F153" s="116">
        <f>IF(AND(C153&lt;&gt;"",E153&lt;&gt;""),C153*E153,"")</f>
        <v/>
      </c>
      <c r="H153">
        <f>IF(C153="","",IF(C153&lt;=G153,"🔴 REPOR JÁ",IF(C153&lt;=G153*1.5,"🟡 ATENÇÃO","🟢 OK")))</f>
        <v/>
      </c>
      <c r="L153" s="116">
        <f>IF(C153&gt;0,E153/C153,"")</f>
        <v/>
      </c>
      <c r="M153">
        <f>IF(C153&lt;&gt;"",IF(C153&lt;=G153,"⚠️ PEDIDO URGENTE",IF(C153&lt;=G153*1.5,"📦 Planejar Pedido","✅ Estoque OK")),"")</f>
        <v/>
      </c>
    </row>
    <row r="154">
      <c r="E154" s="116" t="n"/>
      <c r="F154" s="116">
        <f>IF(AND(C154&lt;&gt;"",E154&lt;&gt;""),C154*E154,"")</f>
        <v/>
      </c>
      <c r="H154">
        <f>IF(C154="","",IF(C154&lt;=G154,"🔴 REPOR JÁ",IF(C154&lt;=G154*1.5,"🟡 ATENÇÃO","🟢 OK")))</f>
        <v/>
      </c>
      <c r="L154" s="116">
        <f>IF(C154&gt;0,E154/C154,"")</f>
        <v/>
      </c>
      <c r="M154">
        <f>IF(C154&lt;&gt;"",IF(C154&lt;=G154,"⚠️ PEDIDO URGENTE",IF(C154&lt;=G154*1.5,"📦 Planejar Pedido","✅ Estoque OK")),"")</f>
        <v/>
      </c>
    </row>
    <row r="155">
      <c r="E155" s="116" t="n"/>
      <c r="F155" s="116">
        <f>IF(AND(C155&lt;&gt;"",E155&lt;&gt;""),C155*E155,"")</f>
        <v/>
      </c>
      <c r="H155">
        <f>IF(C155="","",IF(C155&lt;=G155,"🔴 REPOR JÁ",IF(C155&lt;=G155*1.5,"🟡 ATENÇÃO","🟢 OK")))</f>
        <v/>
      </c>
      <c r="L155" s="116">
        <f>IF(C155&gt;0,E155/C155,"")</f>
        <v/>
      </c>
      <c r="M155">
        <f>IF(C155&lt;&gt;"",IF(C155&lt;=G155,"⚠️ PEDIDO URGENTE",IF(C155&lt;=G155*1.5,"📦 Planejar Pedido","✅ Estoque OK")),"")</f>
        <v/>
      </c>
    </row>
    <row r="156">
      <c r="E156" s="116" t="n"/>
      <c r="F156" s="116">
        <f>IF(AND(C156&lt;&gt;"",E156&lt;&gt;""),C156*E156,"")</f>
        <v/>
      </c>
      <c r="H156">
        <f>IF(C156="","",IF(C156&lt;=G156,"🔴 REPOR JÁ",IF(C156&lt;=G156*1.5,"🟡 ATENÇÃO","🟢 OK")))</f>
        <v/>
      </c>
      <c r="L156" s="116">
        <f>IF(C156&gt;0,E156/C156,"")</f>
        <v/>
      </c>
      <c r="M156">
        <f>IF(C156&lt;&gt;"",IF(C156&lt;=G156,"⚠️ PEDIDO URGENTE",IF(C156&lt;=G156*1.5,"📦 Planejar Pedido","✅ Estoque OK")),"")</f>
        <v/>
      </c>
    </row>
    <row r="157">
      <c r="E157" s="116" t="n"/>
      <c r="F157" s="116">
        <f>IF(AND(C157&lt;&gt;"",E157&lt;&gt;""),C157*E157,"")</f>
        <v/>
      </c>
      <c r="H157">
        <f>IF(C157="","",IF(C157&lt;=G157,"🔴 REPOR JÁ",IF(C157&lt;=G157*1.5,"🟡 ATENÇÃO","🟢 OK")))</f>
        <v/>
      </c>
      <c r="L157" s="116">
        <f>IF(C157&gt;0,E157/C157,"")</f>
        <v/>
      </c>
      <c r="M157">
        <f>IF(C157&lt;&gt;"",IF(C157&lt;=G157,"⚠️ PEDIDO URGENTE",IF(C157&lt;=G157*1.5,"📦 Planejar Pedido","✅ Estoque OK")),"")</f>
        <v/>
      </c>
    </row>
    <row r="158">
      <c r="E158" s="116" t="n"/>
      <c r="F158" s="116">
        <f>IF(AND(C158&lt;&gt;"",E158&lt;&gt;""),C158*E158,"")</f>
        <v/>
      </c>
      <c r="H158">
        <f>IF(C158="","",IF(C158&lt;=G158,"🔴 REPOR JÁ",IF(C158&lt;=G158*1.5,"🟡 ATENÇÃO","🟢 OK")))</f>
        <v/>
      </c>
      <c r="L158" s="116">
        <f>IF(C158&gt;0,E158/C158,"")</f>
        <v/>
      </c>
      <c r="M158">
        <f>IF(C158&lt;&gt;"",IF(C158&lt;=G158,"⚠️ PEDIDO URGENTE",IF(C158&lt;=G158*1.5,"📦 Planejar Pedido","✅ Estoque OK")),"")</f>
        <v/>
      </c>
    </row>
    <row r="159">
      <c r="E159" s="116" t="n"/>
      <c r="F159" s="116">
        <f>IF(AND(C159&lt;&gt;"",E159&lt;&gt;""),C159*E159,"")</f>
        <v/>
      </c>
      <c r="H159">
        <f>IF(C159="","",IF(C159&lt;=G159,"🔴 REPOR JÁ",IF(C159&lt;=G159*1.5,"🟡 ATENÇÃO","🟢 OK")))</f>
        <v/>
      </c>
      <c r="L159" s="116">
        <f>IF(C159&gt;0,E159/C159,"")</f>
        <v/>
      </c>
      <c r="M159">
        <f>IF(C159&lt;&gt;"",IF(C159&lt;=G159,"⚠️ PEDIDO URGENTE",IF(C159&lt;=G159*1.5,"📦 Planejar Pedido","✅ Estoque OK")),"")</f>
        <v/>
      </c>
    </row>
    <row r="160">
      <c r="E160" s="116" t="n"/>
      <c r="F160" s="116">
        <f>IF(AND(C160&lt;&gt;"",E160&lt;&gt;""),C160*E160,"")</f>
        <v/>
      </c>
      <c r="H160">
        <f>IF(C160="","",IF(C160&lt;=G160,"🔴 REPOR JÁ",IF(C160&lt;=G160*1.5,"🟡 ATENÇÃO","🟢 OK")))</f>
        <v/>
      </c>
      <c r="L160" s="116">
        <f>IF(C160&gt;0,E160/C160,"")</f>
        <v/>
      </c>
      <c r="M160">
        <f>IF(C160&lt;&gt;"",IF(C160&lt;=G160,"⚠️ PEDIDO URGENTE",IF(C160&lt;=G160*1.5,"📦 Planejar Pedido","✅ Estoque OK")),"")</f>
        <v/>
      </c>
    </row>
    <row r="161">
      <c r="E161" s="116" t="n"/>
      <c r="F161" s="116">
        <f>IF(AND(C161&lt;&gt;"",E161&lt;&gt;""),C161*E161,"")</f>
        <v/>
      </c>
      <c r="H161">
        <f>IF(C161="","",IF(C161&lt;=G161,"🔴 REPOR JÁ",IF(C161&lt;=G161*1.5,"🟡 ATENÇÃO","🟢 OK")))</f>
        <v/>
      </c>
      <c r="L161" s="116">
        <f>IF(C161&gt;0,E161/C161,"")</f>
        <v/>
      </c>
      <c r="M161">
        <f>IF(C161&lt;&gt;"",IF(C161&lt;=G161,"⚠️ PEDIDO URGENTE",IF(C161&lt;=G161*1.5,"📦 Planejar Pedido","✅ Estoque OK")),"")</f>
        <v/>
      </c>
    </row>
    <row r="162">
      <c r="E162" s="116" t="n"/>
      <c r="F162" s="116">
        <f>IF(AND(C162&lt;&gt;"",E162&lt;&gt;""),C162*E162,"")</f>
        <v/>
      </c>
      <c r="H162">
        <f>IF(C162="","",IF(C162&lt;=G162,"🔴 REPOR JÁ",IF(C162&lt;=G162*1.5,"🟡 ATENÇÃO","🟢 OK")))</f>
        <v/>
      </c>
      <c r="L162" s="116">
        <f>IF(C162&gt;0,E162/C162,"")</f>
        <v/>
      </c>
      <c r="M162">
        <f>IF(C162&lt;&gt;"",IF(C162&lt;=G162,"⚠️ PEDIDO URGENTE",IF(C162&lt;=G162*1.5,"📦 Planejar Pedido","✅ Estoque OK")),"")</f>
        <v/>
      </c>
    </row>
    <row r="163">
      <c r="E163" s="116" t="n"/>
      <c r="F163" s="116">
        <f>IF(AND(C163&lt;&gt;"",E163&lt;&gt;""),C163*E163,"")</f>
        <v/>
      </c>
      <c r="H163">
        <f>IF(C163="","",IF(C163&lt;=G163,"🔴 REPOR JÁ",IF(C163&lt;=G163*1.5,"🟡 ATENÇÃO","🟢 OK")))</f>
        <v/>
      </c>
      <c r="L163" s="116">
        <f>IF(C163&gt;0,E163/C163,"")</f>
        <v/>
      </c>
      <c r="M163">
        <f>IF(C163&lt;&gt;"",IF(C163&lt;=G163,"⚠️ PEDIDO URGENTE",IF(C163&lt;=G163*1.5,"📦 Planejar Pedido","✅ Estoque OK")),"")</f>
        <v/>
      </c>
    </row>
    <row r="164">
      <c r="E164" s="116" t="n"/>
      <c r="F164" s="116">
        <f>IF(AND(C164&lt;&gt;"",E164&lt;&gt;""),C164*E164,"")</f>
        <v/>
      </c>
      <c r="H164">
        <f>IF(C164="","",IF(C164&lt;=G164,"🔴 REPOR JÁ",IF(C164&lt;=G164*1.5,"🟡 ATENÇÃO","🟢 OK")))</f>
        <v/>
      </c>
      <c r="L164" s="116">
        <f>IF(C164&gt;0,E164/C164,"")</f>
        <v/>
      </c>
      <c r="M164">
        <f>IF(C164&lt;&gt;"",IF(C164&lt;=G164,"⚠️ PEDIDO URGENTE",IF(C164&lt;=G164*1.5,"📦 Planejar Pedido","✅ Estoque OK")),"")</f>
        <v/>
      </c>
    </row>
    <row r="165">
      <c r="E165" s="116" t="n"/>
      <c r="F165" s="116">
        <f>IF(AND(C165&lt;&gt;"",E165&lt;&gt;""),C165*E165,"")</f>
        <v/>
      </c>
      <c r="H165">
        <f>IF(C165="","",IF(C165&lt;=G165,"🔴 REPOR JÁ",IF(C165&lt;=G165*1.5,"🟡 ATENÇÃO","🟢 OK")))</f>
        <v/>
      </c>
      <c r="L165" s="116">
        <f>IF(C165&gt;0,E165/C165,"")</f>
        <v/>
      </c>
      <c r="M165">
        <f>IF(C165&lt;&gt;"",IF(C165&lt;=G165,"⚠️ PEDIDO URGENTE",IF(C165&lt;=G165*1.5,"📦 Planejar Pedido","✅ Estoque OK")),"")</f>
        <v/>
      </c>
    </row>
    <row r="166">
      <c r="E166" s="116" t="n"/>
      <c r="F166" s="116">
        <f>IF(AND(C166&lt;&gt;"",E166&lt;&gt;""),C166*E166,"")</f>
        <v/>
      </c>
      <c r="H166">
        <f>IF(C166="","",IF(C166&lt;=G166,"🔴 REPOR JÁ",IF(C166&lt;=G166*1.5,"🟡 ATENÇÃO","🟢 OK")))</f>
        <v/>
      </c>
      <c r="L166" s="116">
        <f>IF(C166&gt;0,E166/C166,"")</f>
        <v/>
      </c>
      <c r="M166">
        <f>IF(C166&lt;&gt;"",IF(C166&lt;=G166,"⚠️ PEDIDO URGENTE",IF(C166&lt;=G166*1.5,"📦 Planejar Pedido","✅ Estoque OK")),"")</f>
        <v/>
      </c>
    </row>
    <row r="167">
      <c r="E167" s="116" t="n"/>
      <c r="F167" s="116">
        <f>IF(AND(C167&lt;&gt;"",E167&lt;&gt;""),C167*E167,"")</f>
        <v/>
      </c>
      <c r="H167">
        <f>IF(C167="","",IF(C167&lt;=G167,"🔴 REPOR JÁ",IF(C167&lt;=G167*1.5,"🟡 ATENÇÃO","🟢 OK")))</f>
        <v/>
      </c>
      <c r="L167" s="116">
        <f>IF(C167&gt;0,E167/C167,"")</f>
        <v/>
      </c>
      <c r="M167">
        <f>IF(C167&lt;&gt;"",IF(C167&lt;=G167,"⚠️ PEDIDO URGENTE",IF(C167&lt;=G167*1.5,"📦 Planejar Pedido","✅ Estoque OK")),"")</f>
        <v/>
      </c>
    </row>
    <row r="168">
      <c r="E168" s="116" t="n"/>
      <c r="F168" s="116">
        <f>IF(AND(C168&lt;&gt;"",E168&lt;&gt;""),C168*E168,"")</f>
        <v/>
      </c>
      <c r="H168">
        <f>IF(C168="","",IF(C168&lt;=G168,"🔴 REPOR JÁ",IF(C168&lt;=G168*1.5,"🟡 ATENÇÃO","🟢 OK")))</f>
        <v/>
      </c>
      <c r="L168" s="116">
        <f>IF(C168&gt;0,E168/C168,"")</f>
        <v/>
      </c>
      <c r="M168">
        <f>IF(C168&lt;&gt;"",IF(C168&lt;=G168,"⚠️ PEDIDO URGENTE",IF(C168&lt;=G168*1.5,"📦 Planejar Pedido","✅ Estoque OK")),"")</f>
        <v/>
      </c>
    </row>
    <row r="169">
      <c r="E169" s="116" t="n"/>
      <c r="F169" s="116">
        <f>IF(AND(C169&lt;&gt;"",E169&lt;&gt;""),C169*E169,"")</f>
        <v/>
      </c>
      <c r="H169">
        <f>IF(C169="","",IF(C169&lt;=G169,"🔴 REPOR JÁ",IF(C169&lt;=G169*1.5,"🟡 ATENÇÃO","🟢 OK")))</f>
        <v/>
      </c>
      <c r="L169" s="116">
        <f>IF(C169&gt;0,E169/C169,"")</f>
        <v/>
      </c>
      <c r="M169">
        <f>IF(C169&lt;&gt;"",IF(C169&lt;=G169,"⚠️ PEDIDO URGENTE",IF(C169&lt;=G169*1.5,"📦 Planejar Pedido","✅ Estoque OK")),"")</f>
        <v/>
      </c>
    </row>
    <row r="170">
      <c r="E170" s="116" t="n"/>
      <c r="F170" s="116">
        <f>IF(AND(C170&lt;&gt;"",E170&lt;&gt;""),C170*E170,"")</f>
        <v/>
      </c>
      <c r="H170">
        <f>IF(C170="","",IF(C170&lt;=G170,"🔴 REPOR JÁ",IF(C170&lt;=G170*1.5,"🟡 ATENÇÃO","🟢 OK")))</f>
        <v/>
      </c>
      <c r="L170" s="116">
        <f>IF(C170&gt;0,E170/C170,"")</f>
        <v/>
      </c>
      <c r="M170">
        <f>IF(C170&lt;&gt;"",IF(C170&lt;=G170,"⚠️ PEDIDO URGENTE",IF(C170&lt;=G170*1.5,"📦 Planejar Pedido","✅ Estoque OK")),"")</f>
        <v/>
      </c>
    </row>
    <row r="171">
      <c r="E171" s="116" t="n"/>
      <c r="F171" s="116">
        <f>IF(AND(C171&lt;&gt;"",E171&lt;&gt;""),C171*E171,"")</f>
        <v/>
      </c>
      <c r="H171">
        <f>IF(C171="","",IF(C171&lt;=G171,"🔴 REPOR JÁ",IF(C171&lt;=G171*1.5,"🟡 ATENÇÃO","🟢 OK")))</f>
        <v/>
      </c>
      <c r="L171" s="116">
        <f>IF(C171&gt;0,E171/C171,"")</f>
        <v/>
      </c>
      <c r="M171">
        <f>IF(C171&lt;&gt;"",IF(C171&lt;=G171,"⚠️ PEDIDO URGENTE",IF(C171&lt;=G171*1.5,"📦 Planejar Pedido","✅ Estoque OK")),"")</f>
        <v/>
      </c>
    </row>
    <row r="172">
      <c r="E172" s="116" t="n"/>
      <c r="F172" s="116">
        <f>IF(AND(C172&lt;&gt;"",E172&lt;&gt;""),C172*E172,"")</f>
        <v/>
      </c>
      <c r="H172">
        <f>IF(C172="","",IF(C172&lt;=G172,"🔴 REPOR JÁ",IF(C172&lt;=G172*1.5,"🟡 ATENÇÃO","🟢 OK")))</f>
        <v/>
      </c>
      <c r="L172" s="116">
        <f>IF(C172&gt;0,E172/C172,"")</f>
        <v/>
      </c>
      <c r="M172">
        <f>IF(C172&lt;&gt;"",IF(C172&lt;=G172,"⚠️ PEDIDO URGENTE",IF(C172&lt;=G172*1.5,"📦 Planejar Pedido","✅ Estoque OK")),"")</f>
        <v/>
      </c>
    </row>
    <row r="173">
      <c r="E173" s="116" t="n"/>
      <c r="F173" s="116">
        <f>IF(AND(C173&lt;&gt;"",E173&lt;&gt;""),C173*E173,"")</f>
        <v/>
      </c>
      <c r="H173">
        <f>IF(C173="","",IF(C173&lt;=G173,"🔴 REPOR JÁ",IF(C173&lt;=G173*1.5,"🟡 ATENÇÃO","🟢 OK")))</f>
        <v/>
      </c>
      <c r="L173" s="116">
        <f>IF(C173&gt;0,E173/C173,"")</f>
        <v/>
      </c>
      <c r="M173">
        <f>IF(C173&lt;&gt;"",IF(C173&lt;=G173,"⚠️ PEDIDO URGENTE",IF(C173&lt;=G173*1.5,"📦 Planejar Pedido","✅ Estoque OK")),"")</f>
        <v/>
      </c>
    </row>
    <row r="174">
      <c r="E174" s="116" t="n"/>
      <c r="F174" s="116">
        <f>IF(AND(C174&lt;&gt;"",E174&lt;&gt;""),C174*E174,"")</f>
        <v/>
      </c>
      <c r="H174">
        <f>IF(C174="","",IF(C174&lt;=G174,"🔴 REPOR JÁ",IF(C174&lt;=G174*1.5,"🟡 ATENÇÃO","🟢 OK")))</f>
        <v/>
      </c>
      <c r="L174" s="116">
        <f>IF(C174&gt;0,E174/C174,"")</f>
        <v/>
      </c>
      <c r="M174">
        <f>IF(C174&lt;&gt;"",IF(C174&lt;=G174,"⚠️ PEDIDO URGENTE",IF(C174&lt;=G174*1.5,"📦 Planejar Pedido","✅ Estoque OK")),"")</f>
        <v/>
      </c>
    </row>
    <row r="175">
      <c r="E175" s="116" t="n"/>
      <c r="F175" s="116">
        <f>IF(AND(C175&lt;&gt;"",E175&lt;&gt;""),C175*E175,"")</f>
        <v/>
      </c>
      <c r="H175">
        <f>IF(C175="","",IF(C175&lt;=G175,"🔴 REPOR JÁ",IF(C175&lt;=G175*1.5,"🟡 ATENÇÃO","🟢 OK")))</f>
        <v/>
      </c>
      <c r="L175" s="116">
        <f>IF(C175&gt;0,E175/C175,"")</f>
        <v/>
      </c>
      <c r="M175">
        <f>IF(C175&lt;&gt;"",IF(C175&lt;=G175,"⚠️ PEDIDO URGENTE",IF(C175&lt;=G175*1.5,"📦 Planejar Pedido","✅ Estoque OK")),"")</f>
        <v/>
      </c>
    </row>
    <row r="176">
      <c r="E176" s="116" t="n"/>
      <c r="F176" s="116">
        <f>IF(AND(C176&lt;&gt;"",E176&lt;&gt;""),C176*E176,"")</f>
        <v/>
      </c>
      <c r="H176">
        <f>IF(C176="","",IF(C176&lt;=G176,"🔴 REPOR JÁ",IF(C176&lt;=G176*1.5,"🟡 ATENÇÃO","🟢 OK")))</f>
        <v/>
      </c>
      <c r="L176" s="116">
        <f>IF(C176&gt;0,E176/C176,"")</f>
        <v/>
      </c>
      <c r="M176">
        <f>IF(C176&lt;&gt;"",IF(C176&lt;=G176,"⚠️ PEDIDO URGENTE",IF(C176&lt;=G176*1.5,"📦 Planejar Pedido","✅ Estoque OK")),"")</f>
        <v/>
      </c>
    </row>
    <row r="177">
      <c r="E177" s="116" t="n"/>
      <c r="F177" s="116">
        <f>IF(AND(C177&lt;&gt;"",E177&lt;&gt;""),C177*E177,"")</f>
        <v/>
      </c>
      <c r="H177">
        <f>IF(C177="","",IF(C177&lt;=G177,"🔴 REPOR JÁ",IF(C177&lt;=G177*1.5,"🟡 ATENÇÃO","🟢 OK")))</f>
        <v/>
      </c>
      <c r="L177" s="116">
        <f>IF(C177&gt;0,E177/C177,"")</f>
        <v/>
      </c>
      <c r="M177">
        <f>IF(C177&lt;&gt;"",IF(C177&lt;=G177,"⚠️ PEDIDO URGENTE",IF(C177&lt;=G177*1.5,"📦 Planejar Pedido","✅ Estoque OK")),"")</f>
        <v/>
      </c>
    </row>
    <row r="178">
      <c r="E178" s="116" t="n"/>
      <c r="F178" s="116">
        <f>IF(AND(C178&lt;&gt;"",E178&lt;&gt;""),C178*E178,"")</f>
        <v/>
      </c>
      <c r="H178">
        <f>IF(C178="","",IF(C178&lt;=G178,"🔴 REPOR JÁ",IF(C178&lt;=G178*1.5,"🟡 ATENÇÃO","🟢 OK")))</f>
        <v/>
      </c>
      <c r="L178" s="116">
        <f>IF(C178&gt;0,E178/C178,"")</f>
        <v/>
      </c>
      <c r="M178">
        <f>IF(C178&lt;&gt;"",IF(C178&lt;=G178,"⚠️ PEDIDO URGENTE",IF(C178&lt;=G178*1.5,"📦 Planejar Pedido","✅ Estoque OK")),"")</f>
        <v/>
      </c>
    </row>
    <row r="179">
      <c r="E179" s="116" t="n"/>
      <c r="F179" s="116">
        <f>IF(AND(C179&lt;&gt;"",E179&lt;&gt;""),C179*E179,"")</f>
        <v/>
      </c>
      <c r="H179">
        <f>IF(C179="","",IF(C179&lt;=G179,"🔴 REPOR JÁ",IF(C179&lt;=G179*1.5,"🟡 ATENÇÃO","🟢 OK")))</f>
        <v/>
      </c>
      <c r="L179" s="116">
        <f>IF(C179&gt;0,E179/C179,"")</f>
        <v/>
      </c>
      <c r="M179">
        <f>IF(C179&lt;&gt;"",IF(C179&lt;=G179,"⚠️ PEDIDO URGENTE",IF(C179&lt;=G179*1.5,"📦 Planejar Pedido","✅ Estoque OK")),"")</f>
        <v/>
      </c>
    </row>
    <row r="180">
      <c r="E180" s="116" t="n"/>
      <c r="F180" s="116">
        <f>IF(AND(C180&lt;&gt;"",E180&lt;&gt;""),C180*E180,"")</f>
        <v/>
      </c>
      <c r="H180">
        <f>IF(C180="","",IF(C180&lt;=G180,"🔴 REPOR JÁ",IF(C180&lt;=G180*1.5,"🟡 ATENÇÃO","🟢 OK")))</f>
        <v/>
      </c>
      <c r="L180" s="116">
        <f>IF(C180&gt;0,E180/C180,"")</f>
        <v/>
      </c>
      <c r="M180">
        <f>IF(C180&lt;&gt;"",IF(C180&lt;=G180,"⚠️ PEDIDO URGENTE",IF(C180&lt;=G180*1.5,"📦 Planejar Pedido","✅ Estoque OK")),"")</f>
        <v/>
      </c>
    </row>
    <row r="181">
      <c r="E181" s="116" t="n"/>
      <c r="F181" s="116">
        <f>IF(AND(C181&lt;&gt;"",E181&lt;&gt;""),C181*E181,"")</f>
        <v/>
      </c>
      <c r="H181">
        <f>IF(C181="","",IF(C181&lt;=G181,"🔴 REPOR JÁ",IF(C181&lt;=G181*1.5,"🟡 ATENÇÃO","🟢 OK")))</f>
        <v/>
      </c>
      <c r="L181" s="116">
        <f>IF(C181&gt;0,E181/C181,"")</f>
        <v/>
      </c>
      <c r="M181">
        <f>IF(C181&lt;&gt;"",IF(C181&lt;=G181,"⚠️ PEDIDO URGENTE",IF(C181&lt;=G181*1.5,"📦 Planejar Pedido","✅ Estoque OK")),"")</f>
        <v/>
      </c>
    </row>
    <row r="182">
      <c r="E182" s="116" t="n"/>
      <c r="F182" s="116">
        <f>IF(AND(C182&lt;&gt;"",E182&lt;&gt;""),C182*E182,"")</f>
        <v/>
      </c>
      <c r="H182">
        <f>IF(C182="","",IF(C182&lt;=G182,"🔴 REPOR JÁ",IF(C182&lt;=G182*1.5,"🟡 ATENÇÃO","🟢 OK")))</f>
        <v/>
      </c>
      <c r="L182" s="116">
        <f>IF(C182&gt;0,E182/C182,"")</f>
        <v/>
      </c>
      <c r="M182">
        <f>IF(C182&lt;&gt;"",IF(C182&lt;=G182,"⚠️ PEDIDO URGENTE",IF(C182&lt;=G182*1.5,"📦 Planejar Pedido","✅ Estoque OK")),"")</f>
        <v/>
      </c>
    </row>
    <row r="183">
      <c r="E183" s="116" t="n"/>
      <c r="F183" s="116">
        <f>IF(AND(C183&lt;&gt;"",E183&lt;&gt;""),C183*E183,"")</f>
        <v/>
      </c>
      <c r="H183">
        <f>IF(C183="","",IF(C183&lt;=G183,"🔴 REPOR JÁ",IF(C183&lt;=G183*1.5,"🟡 ATENÇÃO","🟢 OK")))</f>
        <v/>
      </c>
      <c r="L183" s="116">
        <f>IF(C183&gt;0,E183/C183,"")</f>
        <v/>
      </c>
      <c r="M183">
        <f>IF(C183&lt;&gt;"",IF(C183&lt;=G183,"⚠️ PEDIDO URGENTE",IF(C183&lt;=G183*1.5,"📦 Planejar Pedido","✅ Estoque OK")),"")</f>
        <v/>
      </c>
    </row>
    <row r="184">
      <c r="E184" s="116" t="n"/>
      <c r="F184" s="116">
        <f>IF(AND(C184&lt;&gt;"",E184&lt;&gt;""),C184*E184,"")</f>
        <v/>
      </c>
      <c r="H184">
        <f>IF(C184="","",IF(C184&lt;=G184,"🔴 REPOR JÁ",IF(C184&lt;=G184*1.5,"🟡 ATENÇÃO","🟢 OK")))</f>
        <v/>
      </c>
      <c r="L184" s="116">
        <f>IF(C184&gt;0,E184/C184,"")</f>
        <v/>
      </c>
      <c r="M184">
        <f>IF(C184&lt;&gt;"",IF(C184&lt;=G184,"⚠️ PEDIDO URGENTE",IF(C184&lt;=G184*1.5,"📦 Planejar Pedido","✅ Estoque OK")),"")</f>
        <v/>
      </c>
    </row>
    <row r="185">
      <c r="E185" s="116" t="n"/>
      <c r="F185" s="116">
        <f>IF(AND(C185&lt;&gt;"",E185&lt;&gt;""),C185*E185,"")</f>
        <v/>
      </c>
      <c r="H185">
        <f>IF(C185="","",IF(C185&lt;=G185,"🔴 REPOR JÁ",IF(C185&lt;=G185*1.5,"🟡 ATENÇÃO","🟢 OK")))</f>
        <v/>
      </c>
      <c r="L185" s="116">
        <f>IF(C185&gt;0,E185/C185,"")</f>
        <v/>
      </c>
      <c r="M185">
        <f>IF(C185&lt;&gt;"",IF(C185&lt;=G185,"⚠️ PEDIDO URGENTE",IF(C185&lt;=G185*1.5,"📦 Planejar Pedido","✅ Estoque OK")),"")</f>
        <v/>
      </c>
    </row>
    <row r="186">
      <c r="E186" s="116" t="n"/>
      <c r="F186" s="116">
        <f>IF(AND(C186&lt;&gt;"",E186&lt;&gt;""),C186*E186,"")</f>
        <v/>
      </c>
      <c r="H186">
        <f>IF(C186="","",IF(C186&lt;=G186,"🔴 REPOR JÁ",IF(C186&lt;=G186*1.5,"🟡 ATENÇÃO","🟢 OK")))</f>
        <v/>
      </c>
      <c r="L186" s="116">
        <f>IF(C186&gt;0,E186/C186,"")</f>
        <v/>
      </c>
      <c r="M186">
        <f>IF(C186&lt;&gt;"",IF(C186&lt;=G186,"⚠️ PEDIDO URGENTE",IF(C186&lt;=G186*1.5,"📦 Planejar Pedido","✅ Estoque OK")),"")</f>
        <v/>
      </c>
    </row>
    <row r="187">
      <c r="E187" s="116" t="n"/>
      <c r="F187" s="116">
        <f>IF(AND(C187&lt;&gt;"",E187&lt;&gt;""),C187*E187,"")</f>
        <v/>
      </c>
      <c r="H187">
        <f>IF(C187="","",IF(C187&lt;=G187,"🔴 REPOR JÁ",IF(C187&lt;=G187*1.5,"🟡 ATENÇÃO","🟢 OK")))</f>
        <v/>
      </c>
      <c r="L187" s="116">
        <f>IF(C187&gt;0,E187/C187,"")</f>
        <v/>
      </c>
      <c r="M187">
        <f>IF(C187&lt;&gt;"",IF(C187&lt;=G187,"⚠️ PEDIDO URGENTE",IF(C187&lt;=G187*1.5,"📦 Planejar Pedido","✅ Estoque OK")),"")</f>
        <v/>
      </c>
    </row>
    <row r="188">
      <c r="E188" s="116" t="n"/>
      <c r="F188" s="116">
        <f>IF(AND(C188&lt;&gt;"",E188&lt;&gt;""),C188*E188,"")</f>
        <v/>
      </c>
      <c r="H188">
        <f>IF(C188="","",IF(C188&lt;=G188,"🔴 REPOR JÁ",IF(C188&lt;=G188*1.5,"🟡 ATENÇÃO","🟢 OK")))</f>
        <v/>
      </c>
      <c r="L188" s="116">
        <f>IF(C188&gt;0,E188/C188,"")</f>
        <v/>
      </c>
      <c r="M188">
        <f>IF(C188&lt;&gt;"",IF(C188&lt;=G188,"⚠️ PEDIDO URGENTE",IF(C188&lt;=G188*1.5,"📦 Planejar Pedido","✅ Estoque OK")),"")</f>
        <v/>
      </c>
    </row>
    <row r="189">
      <c r="E189" s="116" t="n"/>
      <c r="F189" s="116">
        <f>IF(AND(C189&lt;&gt;"",E189&lt;&gt;""),C189*E189,"")</f>
        <v/>
      </c>
      <c r="H189">
        <f>IF(C189="","",IF(C189&lt;=G189,"🔴 REPOR JÁ",IF(C189&lt;=G189*1.5,"🟡 ATENÇÃO","🟢 OK")))</f>
        <v/>
      </c>
      <c r="L189" s="116">
        <f>IF(C189&gt;0,E189/C189,"")</f>
        <v/>
      </c>
      <c r="M189">
        <f>IF(C189&lt;&gt;"",IF(C189&lt;=G189,"⚠️ PEDIDO URGENTE",IF(C189&lt;=G189*1.5,"📦 Planejar Pedido","✅ Estoque OK")),"")</f>
        <v/>
      </c>
    </row>
    <row r="190">
      <c r="E190" s="116" t="n"/>
      <c r="F190" s="116">
        <f>IF(AND(C190&lt;&gt;"",E190&lt;&gt;""),C190*E190,"")</f>
        <v/>
      </c>
      <c r="H190">
        <f>IF(C190="","",IF(C190&lt;=G190,"🔴 REPOR JÁ",IF(C190&lt;=G190*1.5,"🟡 ATENÇÃO","🟢 OK")))</f>
        <v/>
      </c>
      <c r="L190" s="116">
        <f>IF(C190&gt;0,E190/C190,"")</f>
        <v/>
      </c>
      <c r="M190">
        <f>IF(C190&lt;&gt;"",IF(C190&lt;=G190,"⚠️ PEDIDO URGENTE",IF(C190&lt;=G190*1.5,"📦 Planejar Pedido","✅ Estoque OK")),"")</f>
        <v/>
      </c>
    </row>
    <row r="191">
      <c r="E191" s="116" t="n"/>
      <c r="F191" s="116">
        <f>IF(AND(C191&lt;&gt;"",E191&lt;&gt;""),C191*E191,"")</f>
        <v/>
      </c>
      <c r="H191">
        <f>IF(C191="","",IF(C191&lt;=G191,"🔴 REPOR JÁ",IF(C191&lt;=G191*1.5,"🟡 ATENÇÃO","🟢 OK")))</f>
        <v/>
      </c>
      <c r="L191" s="116">
        <f>IF(C191&gt;0,E191/C191,"")</f>
        <v/>
      </c>
      <c r="M191">
        <f>IF(C191&lt;&gt;"",IF(C191&lt;=G191,"⚠️ PEDIDO URGENTE",IF(C191&lt;=G191*1.5,"📦 Planejar Pedido","✅ Estoque OK")),"")</f>
        <v/>
      </c>
    </row>
    <row r="192">
      <c r="E192" s="116" t="n"/>
      <c r="F192" s="116">
        <f>IF(AND(C192&lt;&gt;"",E192&lt;&gt;""),C192*E192,"")</f>
        <v/>
      </c>
      <c r="H192">
        <f>IF(C192="","",IF(C192&lt;=G192,"🔴 REPOR JÁ",IF(C192&lt;=G192*1.5,"🟡 ATENÇÃO","🟢 OK")))</f>
        <v/>
      </c>
      <c r="L192" s="116">
        <f>IF(C192&gt;0,E192/C192,"")</f>
        <v/>
      </c>
      <c r="M192">
        <f>IF(C192&lt;&gt;"",IF(C192&lt;=G192,"⚠️ PEDIDO URGENTE",IF(C192&lt;=G192*1.5,"📦 Planejar Pedido","✅ Estoque OK")),"")</f>
        <v/>
      </c>
    </row>
    <row r="193">
      <c r="E193" s="116" t="n"/>
      <c r="F193" s="116">
        <f>IF(AND(C193&lt;&gt;"",E193&lt;&gt;""),C193*E193,"")</f>
        <v/>
      </c>
      <c r="H193">
        <f>IF(C193="","",IF(C193&lt;=G193,"🔴 REPOR JÁ",IF(C193&lt;=G193*1.5,"🟡 ATENÇÃO","🟢 OK")))</f>
        <v/>
      </c>
      <c r="L193" s="116">
        <f>IF(C193&gt;0,E193/C193,"")</f>
        <v/>
      </c>
      <c r="M193">
        <f>IF(C193&lt;&gt;"",IF(C193&lt;=G193,"⚠️ PEDIDO URGENTE",IF(C193&lt;=G193*1.5,"📦 Planejar Pedido","✅ Estoque OK")),"")</f>
        <v/>
      </c>
    </row>
    <row r="194">
      <c r="E194" s="116" t="n"/>
      <c r="F194" s="116">
        <f>IF(AND(C194&lt;&gt;"",E194&lt;&gt;""),C194*E194,"")</f>
        <v/>
      </c>
      <c r="H194">
        <f>IF(C194="","",IF(C194&lt;=G194,"🔴 REPOR JÁ",IF(C194&lt;=G194*1.5,"🟡 ATENÇÃO","🟢 OK")))</f>
        <v/>
      </c>
      <c r="L194" s="116">
        <f>IF(C194&gt;0,E194/C194,"")</f>
        <v/>
      </c>
      <c r="M194">
        <f>IF(C194&lt;&gt;"",IF(C194&lt;=G194,"⚠️ PEDIDO URGENTE",IF(C194&lt;=G194*1.5,"📦 Planejar Pedido","✅ Estoque OK")),"")</f>
        <v/>
      </c>
    </row>
    <row r="195">
      <c r="E195" s="116" t="n"/>
      <c r="F195" s="116">
        <f>IF(AND(C195&lt;&gt;"",E195&lt;&gt;""),C195*E195,"")</f>
        <v/>
      </c>
      <c r="H195">
        <f>IF(C195="","",IF(C195&lt;=G195,"🔴 REPOR JÁ",IF(C195&lt;=G195*1.5,"🟡 ATENÇÃO","🟢 OK")))</f>
        <v/>
      </c>
      <c r="L195" s="116">
        <f>IF(C195&gt;0,E195/C195,"")</f>
        <v/>
      </c>
      <c r="M195">
        <f>IF(C195&lt;&gt;"",IF(C195&lt;=G195,"⚠️ PEDIDO URGENTE",IF(C195&lt;=G195*1.5,"📦 Planejar Pedido","✅ Estoque OK")),"")</f>
        <v/>
      </c>
    </row>
    <row r="196">
      <c r="E196" s="116" t="n"/>
      <c r="F196" s="116">
        <f>IF(AND(C196&lt;&gt;"",E196&lt;&gt;""),C196*E196,"")</f>
        <v/>
      </c>
      <c r="H196">
        <f>IF(C196="","",IF(C196&lt;=G196,"🔴 REPOR JÁ",IF(C196&lt;=G196*1.5,"🟡 ATENÇÃO","🟢 OK")))</f>
        <v/>
      </c>
      <c r="L196" s="116">
        <f>IF(C196&gt;0,E196/C196,"")</f>
        <v/>
      </c>
      <c r="M196">
        <f>IF(C196&lt;&gt;"",IF(C196&lt;=G196,"⚠️ PEDIDO URGENTE",IF(C196&lt;=G196*1.5,"📦 Planejar Pedido","✅ Estoque OK")),"")</f>
        <v/>
      </c>
    </row>
    <row r="197">
      <c r="E197" s="116" t="n"/>
      <c r="F197" s="116">
        <f>IF(AND(C197&lt;&gt;"",E197&lt;&gt;""),C197*E197,"")</f>
        <v/>
      </c>
      <c r="H197">
        <f>IF(C197="","",IF(C197&lt;=G197,"🔴 REPOR JÁ",IF(C197&lt;=G197*1.5,"🟡 ATENÇÃO","🟢 OK")))</f>
        <v/>
      </c>
      <c r="L197" s="116">
        <f>IF(C197&gt;0,E197/C197,"")</f>
        <v/>
      </c>
      <c r="M197">
        <f>IF(C197&lt;&gt;"",IF(C197&lt;=G197,"⚠️ PEDIDO URGENTE",IF(C197&lt;=G197*1.5,"📦 Planejar Pedido","✅ Estoque OK")),"")</f>
        <v/>
      </c>
    </row>
    <row r="198">
      <c r="E198" s="116" t="n"/>
      <c r="F198" s="116">
        <f>IF(AND(C198&lt;&gt;"",E198&lt;&gt;""),C198*E198,"")</f>
        <v/>
      </c>
      <c r="H198">
        <f>IF(C198="","",IF(C198&lt;=G198,"🔴 REPOR JÁ",IF(C198&lt;=G198*1.5,"🟡 ATENÇÃO","🟢 OK")))</f>
        <v/>
      </c>
      <c r="L198" s="116">
        <f>IF(C198&gt;0,E198/C198,"")</f>
        <v/>
      </c>
      <c r="M198">
        <f>IF(C198&lt;&gt;"",IF(C198&lt;=G198,"⚠️ PEDIDO URGENTE",IF(C198&lt;=G198*1.5,"📦 Planejar Pedido","✅ Estoque OK")),"")</f>
        <v/>
      </c>
    </row>
    <row r="199">
      <c r="E199" s="116" t="n"/>
      <c r="F199" s="116">
        <f>IF(AND(C199&lt;&gt;"",E199&lt;&gt;""),C199*E199,"")</f>
        <v/>
      </c>
      <c r="H199">
        <f>IF(C199="","",IF(C199&lt;=G199,"🔴 REPOR JÁ",IF(C199&lt;=G199*1.5,"🟡 ATENÇÃO","🟢 OK")))</f>
        <v/>
      </c>
      <c r="L199" s="116">
        <f>IF(C199&gt;0,E199/C199,"")</f>
        <v/>
      </c>
      <c r="M199">
        <f>IF(C199&lt;&gt;"",IF(C199&lt;=G199,"⚠️ PEDIDO URGENTE",IF(C199&lt;=G199*1.5,"📦 Planejar Pedido","✅ Estoque OK")),"")</f>
        <v/>
      </c>
    </row>
    <row r="200">
      <c r="E200" s="116" t="n"/>
      <c r="F200" s="116">
        <f>IF(AND(C200&lt;&gt;"",E200&lt;&gt;""),C200*E200,"")</f>
        <v/>
      </c>
      <c r="H200">
        <f>IF(C200="","",IF(C200&lt;=G200,"🔴 REPOR JÁ",IF(C200&lt;=G200*1.5,"🟡 ATENÇÃO","🟢 OK")))</f>
        <v/>
      </c>
      <c r="L200" s="116">
        <f>IF(C200&gt;0,E200/C200,"")</f>
        <v/>
      </c>
      <c r="M200">
        <f>IF(C200&lt;&gt;"",IF(C200&lt;=G200,"⚠️ PEDIDO URGENTE",IF(C200&lt;=G200*1.5,"📦 Planejar Pedido","✅ Estoque OK")),"")</f>
        <v/>
      </c>
    </row>
  </sheetData>
  <mergeCells count="2">
    <mergeCell ref="B26:E26"/>
    <mergeCell ref="B2:M2"/>
  </mergeCells>
  <conditionalFormatting sqref="H5:H200">
    <cfRule type="containsText" priority="1" operator="containsText" dxfId="2" text="REPOR">
      <formula>NOT(ISERROR(SEARCH("REPOR",H5)))</formula>
    </cfRule>
    <cfRule type="containsText" priority="2" operator="containsText" dxfId="4" text="ATENÇÃO">
      <formula>NOT(ISERROR(SEARCH("ATENÇÃO",H5)))</formula>
    </cfRule>
    <cfRule type="containsText" priority="3" operator="containsText" dxfId="0" text="OK">
      <formula>NOT(ISERROR(SEARCH("OK",H5)))</formula>
    </cfRule>
  </conditionalFormatting>
  <dataValidations count="1">
    <dataValidation sqref="B5:B200" showDropDown="0" showInputMessage="0" showErrorMessage="0" allowBlank="0" type="list">
      <formula1>"Tinta,Agulha,Proteção,Máquina,Higiene,Limpeza,Embalagem,Outro"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498DB"/>
    <outlinePr summaryBelow="1" summaryRight="1"/>
    <pageSetUpPr/>
  </sheetPr>
  <dimension ref="A1:O2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15" customWidth="1" min="8" max="8"/>
    <col width="20" customWidth="1" min="9" max="9"/>
    <col width="14" customWidth="1" min="10" max="10"/>
    <col width="13" customWidth="1" min="11" max="11"/>
    <col width="25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5" customHeight="1">
      <c r="A2" s="1" t="n"/>
      <c r="B2" s="37" t="inlineStr">
        <is>
          <t>🎯  PIPELINE DE LEADS — CENTRAL TATTOO</t>
        </is>
      </c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2" customHeight="1">
      <c r="A4" s="1" t="n"/>
      <c r="B4" s="36" t="inlineStr">
        <is>
          <t>TOTAL LEADS</t>
        </is>
      </c>
      <c r="E4" s="36" t="inlineStr">
        <is>
          <t>ORÇAMENTOS</t>
        </is>
      </c>
      <c r="H4" s="36" t="inlineStr">
        <is>
          <t>CONFIRMADOS</t>
        </is>
      </c>
      <c r="K4" s="36" t="inlineStr">
        <is>
          <t>PERDIDOS</t>
        </is>
      </c>
      <c r="N4" s="1" t="n"/>
      <c r="O4" s="1" t="n"/>
    </row>
    <row r="5" ht="36" customHeight="1">
      <c r="A5" s="1" t="n"/>
      <c r="B5" s="83">
        <f>COUNTA(B9:B108)</f>
        <v/>
      </c>
      <c r="E5" s="140">
        <f>COUNTIF(F9:F208,"*Perdido*")</f>
        <v/>
      </c>
      <c r="H5" s="85">
        <f>COUNTIF(F9:F108,"Confirmado")</f>
        <v/>
      </c>
      <c r="K5" s="86">
        <f>COUNTIF(F9:F108,"Perdido")</f>
        <v/>
      </c>
      <c r="N5" s="1" t="n"/>
      <c r="O5" s="1" t="n"/>
    </row>
    <row r="6" ht="22" customHeight="1">
      <c r="A6" s="1" t="n"/>
      <c r="B6" s="87" t="n"/>
      <c r="E6" s="88" t="n"/>
      <c r="H6" s="20" t="n"/>
      <c r="K6" s="21" t="n"/>
      <c r="N6" s="1" t="n"/>
      <c r="O6" s="1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22" customHeight="1">
      <c r="A8" s="1" t="n"/>
      <c r="B8" s="38" t="inlineStr">
        <is>
          <t>NOME</t>
        </is>
      </c>
      <c r="C8" s="38" t="inlineStr">
        <is>
          <t>TELEFONE</t>
        </is>
      </c>
      <c r="D8" s="38" t="inlineStr">
        <is>
          <t>ORIGEM</t>
        </is>
      </c>
      <c r="E8" s="38" t="inlineStr">
        <is>
          <t>DATA ENTRADA</t>
        </is>
      </c>
      <c r="F8" s="38" t="inlineStr">
        <is>
          <t>ESTILO INTERESSE</t>
        </is>
      </c>
      <c r="G8" s="118" t="inlineStr">
        <is>
          <t>TEMPERATURA</t>
        </is>
      </c>
      <c r="H8" s="118" t="inlineStr">
        <is>
          <t>VALOR ESTIMADO</t>
        </is>
      </c>
      <c r="I8" s="118" t="inlineStr">
        <is>
          <t>PRÓX. AÇÃO</t>
        </is>
      </c>
      <c r="J8" s="118" t="inlineStr">
        <is>
          <t>RESPONSÁVEL</t>
        </is>
      </c>
      <c r="K8" s="118" t="inlineStr">
        <is>
          <t>DATA FOLLOW</t>
        </is>
      </c>
      <c r="L8" s="118" t="inlineStr">
        <is>
          <t>OBS</t>
        </is>
      </c>
      <c r="M8" s="1" t="n"/>
      <c r="N8" s="1" t="n"/>
      <c r="O8" s="1" t="n"/>
    </row>
    <row r="9" ht="18" customHeight="1">
      <c r="A9" s="1" t="n"/>
      <c r="B9" s="39" t="n"/>
      <c r="C9" s="39" t="n"/>
      <c r="D9" s="101" t="n"/>
      <c r="E9" s="39" t="n"/>
      <c r="F9" s="39" t="n"/>
      <c r="G9" s="39" t="n"/>
      <c r="H9" s="107" t="n"/>
      <c r="I9" s="39" t="n"/>
      <c r="J9" s="39" t="n"/>
      <c r="K9" s="104" t="n"/>
      <c r="L9" s="1" t="n"/>
      <c r="M9" s="1" t="n"/>
      <c r="N9" s="1" t="n"/>
      <c r="O9" s="1" t="n"/>
    </row>
    <row r="10" ht="18" customHeight="1">
      <c r="A10" s="1" t="n"/>
      <c r="B10" s="33" t="n"/>
      <c r="C10" s="33" t="n"/>
      <c r="D10" s="102" t="n"/>
      <c r="E10" s="33" t="n"/>
      <c r="F10" s="33" t="n"/>
      <c r="G10" s="33" t="n"/>
      <c r="H10" s="109" t="n"/>
      <c r="I10" s="33" t="n"/>
      <c r="J10" s="33" t="n"/>
      <c r="K10" s="104" t="n"/>
      <c r="L10" s="1" t="n"/>
      <c r="M10" s="1" t="n"/>
      <c r="N10" s="1" t="n"/>
      <c r="O10" s="1" t="n"/>
    </row>
    <row r="11" ht="18" customHeight="1">
      <c r="A11" s="1" t="n"/>
      <c r="B11" s="39" t="n"/>
      <c r="C11" s="39" t="n"/>
      <c r="D11" s="101" t="n"/>
      <c r="E11" s="39" t="n"/>
      <c r="F11" s="39" t="n"/>
      <c r="G11" s="39" t="n"/>
      <c r="H11" s="107" t="n"/>
      <c r="I11" s="39" t="n"/>
      <c r="J11" s="39" t="n"/>
      <c r="K11" s="104" t="n"/>
      <c r="L11" s="1" t="n"/>
      <c r="M11" s="1" t="n"/>
      <c r="N11" s="1" t="n"/>
      <c r="O11" s="1" t="n"/>
    </row>
    <row r="12" ht="18" customHeight="1">
      <c r="A12" s="1" t="n"/>
      <c r="B12" s="33" t="n"/>
      <c r="C12" s="33" t="n"/>
      <c r="D12" s="102" t="n"/>
      <c r="E12" s="33" t="n"/>
      <c r="F12" s="33" t="n"/>
      <c r="G12" s="33" t="n"/>
      <c r="H12" s="109" t="n"/>
      <c r="I12" s="33" t="n"/>
      <c r="J12" s="33" t="n"/>
      <c r="K12" s="104" t="n"/>
      <c r="L12" s="1" t="n"/>
      <c r="M12" s="1" t="n"/>
      <c r="N12" s="1" t="n"/>
      <c r="O12" s="1" t="n"/>
    </row>
    <row r="13" ht="18" customHeight="1">
      <c r="A13" s="1" t="n"/>
      <c r="B13" s="39" t="n"/>
      <c r="C13" s="39" t="n"/>
      <c r="D13" s="101" t="n"/>
      <c r="E13" s="39" t="n"/>
      <c r="F13" s="39" t="n"/>
      <c r="G13" s="39" t="n"/>
      <c r="H13" s="107" t="n"/>
      <c r="I13" s="39" t="n"/>
      <c r="J13" s="39" t="n"/>
      <c r="K13" s="104" t="n"/>
      <c r="L13" s="1" t="n"/>
      <c r="M13" s="1" t="n"/>
      <c r="N13" s="1" t="n"/>
      <c r="O13" s="1" t="n"/>
    </row>
    <row r="14" ht="18" customHeight="1">
      <c r="A14" s="1" t="n"/>
      <c r="B14" s="33" t="n"/>
      <c r="C14" s="33" t="n"/>
      <c r="D14" s="102" t="n"/>
      <c r="E14" s="33" t="n"/>
      <c r="F14" s="33" t="n"/>
      <c r="G14" s="33" t="n"/>
      <c r="H14" s="109" t="n"/>
      <c r="I14" s="33" t="n"/>
      <c r="J14" s="33" t="n"/>
      <c r="K14" s="104" t="n"/>
      <c r="L14" s="1" t="n"/>
      <c r="M14" s="1" t="n"/>
      <c r="N14" s="1" t="n"/>
      <c r="O14" s="1" t="n"/>
    </row>
    <row r="15" ht="18" customHeight="1">
      <c r="A15" s="1" t="n"/>
      <c r="B15" s="39" t="n"/>
      <c r="C15" s="39" t="n"/>
      <c r="D15" s="101" t="n"/>
      <c r="E15" s="39" t="n"/>
      <c r="F15" s="39" t="n"/>
      <c r="G15" s="39" t="n"/>
      <c r="H15" s="107" t="n"/>
      <c r="I15" s="39" t="n"/>
      <c r="J15" s="39" t="n"/>
      <c r="K15" s="104" t="n"/>
      <c r="L15" s="1" t="n"/>
      <c r="M15" s="1" t="n"/>
      <c r="N15" s="1" t="n"/>
      <c r="O15" s="1" t="n"/>
    </row>
    <row r="16" ht="18" customHeight="1">
      <c r="A16" s="1" t="n"/>
      <c r="B16" s="33" t="n"/>
      <c r="C16" s="33" t="n"/>
      <c r="D16" s="102" t="n"/>
      <c r="E16" s="33" t="n"/>
      <c r="F16" s="33" t="n"/>
      <c r="G16" s="33" t="n"/>
      <c r="H16" s="109" t="n"/>
      <c r="I16" s="33" t="n"/>
      <c r="J16" s="33" t="n"/>
      <c r="K16" s="104" t="n"/>
      <c r="L16" s="1" t="n"/>
      <c r="M16" s="1" t="n"/>
      <c r="N16" s="1" t="n"/>
      <c r="O16" s="1" t="n"/>
    </row>
    <row r="17" ht="18" customHeight="1">
      <c r="A17" s="1" t="n"/>
      <c r="B17" s="39" t="n"/>
      <c r="C17" s="39" t="n"/>
      <c r="D17" s="101" t="n"/>
      <c r="E17" s="39" t="n"/>
      <c r="F17" s="39" t="n"/>
      <c r="G17" s="39" t="n"/>
      <c r="H17" s="107" t="n"/>
      <c r="I17" s="39" t="n"/>
      <c r="J17" s="39" t="n"/>
      <c r="K17" s="104" t="n"/>
      <c r="L17" s="1" t="n"/>
      <c r="M17" s="1" t="n"/>
      <c r="N17" s="1" t="n"/>
      <c r="O17" s="1" t="n"/>
    </row>
    <row r="18" ht="18" customHeight="1">
      <c r="A18" s="1" t="n"/>
      <c r="B18" s="33" t="n"/>
      <c r="C18" s="33" t="n"/>
      <c r="D18" s="102" t="n"/>
      <c r="E18" s="33" t="n"/>
      <c r="F18" s="33" t="n"/>
      <c r="G18" s="33" t="n"/>
      <c r="H18" s="109" t="n"/>
      <c r="I18" s="33" t="n"/>
      <c r="J18" s="33" t="n"/>
      <c r="K18" s="104" t="n"/>
      <c r="L18" s="1" t="n"/>
      <c r="M18" s="1" t="n"/>
      <c r="N18" s="1" t="n"/>
      <c r="O18" s="1" t="n"/>
    </row>
    <row r="19" ht="18" customHeight="1">
      <c r="A19" s="1" t="n"/>
      <c r="B19" s="39" t="n"/>
      <c r="C19" s="39" t="n"/>
      <c r="D19" s="101" t="n"/>
      <c r="E19" s="39" t="n"/>
      <c r="F19" s="39" t="n"/>
      <c r="G19" s="39" t="n"/>
      <c r="H19" s="107" t="n"/>
      <c r="I19" s="39" t="n"/>
      <c r="J19" s="39" t="n"/>
      <c r="K19" s="104" t="n"/>
      <c r="L19" s="1" t="n"/>
      <c r="M19" s="1" t="n"/>
      <c r="N19" s="1" t="n"/>
      <c r="O19" s="1" t="n"/>
    </row>
    <row r="20" ht="18" customHeight="1">
      <c r="A20" s="1" t="n"/>
      <c r="B20" s="33" t="n"/>
      <c r="C20" s="33" t="n"/>
      <c r="D20" s="102" t="n"/>
      <c r="E20" s="33" t="n"/>
      <c r="F20" s="33" t="n"/>
      <c r="G20" s="33" t="n"/>
      <c r="H20" s="109" t="n"/>
      <c r="I20" s="33" t="n"/>
      <c r="J20" s="33" t="n"/>
      <c r="K20" s="104" t="n"/>
      <c r="L20" s="1" t="n"/>
      <c r="M20" s="1" t="n"/>
      <c r="N20" s="1" t="n"/>
      <c r="O20" s="1" t="n"/>
    </row>
    <row r="21" ht="18" customHeight="1">
      <c r="A21" s="1" t="n"/>
      <c r="B21" s="39" t="n"/>
      <c r="C21" s="39" t="n"/>
      <c r="D21" s="101" t="n"/>
      <c r="E21" s="39" t="n"/>
      <c r="F21" s="39" t="n"/>
      <c r="G21" s="39" t="n"/>
      <c r="H21" s="107" t="n"/>
      <c r="I21" s="39" t="n"/>
      <c r="J21" s="39" t="n"/>
      <c r="K21" s="104" t="n"/>
      <c r="L21" s="1" t="n"/>
      <c r="M21" s="1" t="n"/>
      <c r="N21" s="1" t="n"/>
      <c r="O21" s="1" t="n"/>
    </row>
    <row r="22" ht="18" customHeight="1">
      <c r="A22" s="1" t="n"/>
      <c r="B22" s="33" t="n"/>
      <c r="C22" s="33" t="n"/>
      <c r="D22" s="102" t="n"/>
      <c r="E22" s="33" t="n"/>
      <c r="F22" s="33" t="n"/>
      <c r="G22" s="33" t="n"/>
      <c r="H22" s="109" t="n"/>
      <c r="I22" s="33" t="n"/>
      <c r="J22" s="33" t="n"/>
      <c r="K22" s="104" t="n"/>
      <c r="L22" s="1" t="n"/>
      <c r="M22" s="1" t="n"/>
      <c r="N22" s="1" t="n"/>
      <c r="O22" s="1" t="n"/>
    </row>
    <row r="23" ht="18" customHeight="1">
      <c r="A23" s="1" t="n"/>
      <c r="B23" s="39" t="n"/>
      <c r="C23" s="39" t="n"/>
      <c r="D23" s="101" t="n"/>
      <c r="E23" s="39" t="n"/>
      <c r="F23" s="39" t="n"/>
      <c r="G23" s="39" t="n"/>
      <c r="H23" s="107" t="n"/>
      <c r="I23" s="39" t="n"/>
      <c r="J23" s="39" t="n"/>
      <c r="K23" s="104" t="n"/>
      <c r="L23" s="1" t="n"/>
      <c r="M23" s="1" t="n"/>
      <c r="N23" s="1" t="n"/>
      <c r="O23" s="1" t="n"/>
    </row>
    <row r="24" ht="18" customHeight="1">
      <c r="A24" s="1" t="n"/>
      <c r="B24" s="33" t="n"/>
      <c r="C24" s="33" t="n"/>
      <c r="D24" s="102" t="n"/>
      <c r="E24" s="33" t="n"/>
      <c r="F24" s="33" t="n"/>
      <c r="G24" s="33" t="n"/>
      <c r="H24" s="109" t="n"/>
      <c r="I24" s="33" t="n"/>
      <c r="J24" s="33" t="n"/>
      <c r="K24" s="104" t="n"/>
      <c r="L24" s="1" t="n"/>
      <c r="M24" s="1" t="n"/>
      <c r="N24" s="1" t="n"/>
      <c r="O24" s="1" t="n"/>
    </row>
    <row r="25" ht="18" customHeight="1">
      <c r="A25" s="1" t="n"/>
      <c r="B25" s="39" t="n"/>
      <c r="C25" s="39" t="n"/>
      <c r="D25" s="101" t="n"/>
      <c r="E25" s="39" t="n"/>
      <c r="F25" s="39" t="n"/>
      <c r="G25" s="39" t="n"/>
      <c r="H25" s="107" t="n"/>
      <c r="I25" s="39" t="n"/>
      <c r="J25" s="39" t="n"/>
      <c r="K25" s="104" t="n"/>
      <c r="L25" s="1" t="n"/>
      <c r="M25" s="1" t="n"/>
      <c r="N25" s="1" t="n"/>
      <c r="O25" s="1" t="n"/>
    </row>
    <row r="26" ht="18" customHeight="1">
      <c r="A26" s="1" t="n"/>
      <c r="B26" s="33" t="n"/>
      <c r="C26" s="33" t="n"/>
      <c r="D26" s="102" t="n"/>
      <c r="E26" s="33" t="n"/>
      <c r="F26" s="33" t="n"/>
      <c r="G26" s="33" t="n"/>
      <c r="H26" s="109" t="n"/>
      <c r="I26" s="33" t="n"/>
      <c r="J26" s="33" t="n"/>
      <c r="K26" s="104" t="n"/>
      <c r="L26" s="1" t="n"/>
      <c r="M26" s="1" t="n"/>
      <c r="N26" s="1" t="n"/>
      <c r="O26" s="1" t="n"/>
    </row>
    <row r="27" ht="18" customHeight="1">
      <c r="A27" s="1" t="n"/>
      <c r="B27" s="39" t="n"/>
      <c r="C27" s="39" t="n"/>
      <c r="D27" s="101" t="n"/>
      <c r="E27" s="39" t="n"/>
      <c r="F27" s="39" t="n"/>
      <c r="G27" s="39" t="n"/>
      <c r="H27" s="107" t="n"/>
      <c r="I27" s="39" t="n"/>
      <c r="J27" s="39" t="n"/>
      <c r="K27" s="104" t="n"/>
      <c r="L27" s="1" t="n"/>
      <c r="M27" s="1" t="n"/>
      <c r="N27" s="1" t="n"/>
      <c r="O27" s="1" t="n"/>
    </row>
    <row r="28" ht="18" customHeight="1">
      <c r="A28" s="1" t="n"/>
      <c r="B28" s="33" t="n"/>
      <c r="C28" s="33" t="n"/>
      <c r="D28" s="102" t="n"/>
      <c r="E28" s="33" t="n"/>
      <c r="F28" s="33" t="n"/>
      <c r="G28" s="33" t="n"/>
      <c r="H28" s="109" t="n"/>
      <c r="I28" s="33" t="n"/>
      <c r="J28" s="33" t="n"/>
      <c r="K28" s="104" t="n"/>
      <c r="L28" s="1" t="n"/>
      <c r="M28" s="1" t="n"/>
      <c r="N28" s="1" t="n"/>
      <c r="O28" s="1" t="n"/>
    </row>
    <row r="29" ht="18" customHeight="1">
      <c r="A29" s="1" t="n"/>
      <c r="B29" s="39" t="n"/>
      <c r="C29" s="39" t="n"/>
      <c r="D29" s="101" t="n"/>
      <c r="E29" s="39" t="n"/>
      <c r="F29" s="39" t="n"/>
      <c r="G29" s="39" t="n"/>
      <c r="H29" s="107" t="n"/>
      <c r="I29" s="39" t="n"/>
      <c r="J29" s="39" t="n"/>
      <c r="K29" s="104" t="n"/>
      <c r="L29" s="1" t="n"/>
      <c r="M29" s="1" t="n"/>
      <c r="N29" s="1" t="n"/>
      <c r="O29" s="1" t="n"/>
    </row>
    <row r="30" ht="18" customHeight="1">
      <c r="A30" s="1" t="n"/>
      <c r="B30" s="33" t="n"/>
      <c r="C30" s="33" t="n"/>
      <c r="D30" s="102" t="n"/>
      <c r="E30" s="33" t="n"/>
      <c r="F30" s="33" t="n"/>
      <c r="G30" s="33" t="n"/>
      <c r="H30" s="109" t="n"/>
      <c r="I30" s="33" t="n"/>
      <c r="J30" s="33" t="n"/>
      <c r="K30" s="104" t="n"/>
      <c r="L30" s="1" t="n"/>
      <c r="M30" s="1" t="n"/>
      <c r="N30" s="1" t="n"/>
      <c r="O30" s="1" t="n"/>
    </row>
    <row r="31" ht="18" customHeight="1">
      <c r="A31" s="1" t="n"/>
      <c r="B31" s="39" t="n"/>
      <c r="C31" s="39" t="n"/>
      <c r="D31" s="101" t="n"/>
      <c r="E31" s="39" t="n"/>
      <c r="F31" s="39" t="n"/>
      <c r="G31" s="39" t="n"/>
      <c r="H31" s="107" t="n"/>
      <c r="I31" s="39" t="n"/>
      <c r="J31" s="39" t="n"/>
      <c r="K31" s="104" t="n"/>
      <c r="L31" s="1" t="n"/>
      <c r="M31" s="1" t="n"/>
      <c r="N31" s="1" t="n"/>
      <c r="O31" s="1" t="n"/>
    </row>
    <row r="32" ht="18" customHeight="1">
      <c r="A32" s="1" t="n"/>
      <c r="B32" s="33" t="n"/>
      <c r="C32" s="33" t="n"/>
      <c r="D32" s="102" t="n"/>
      <c r="E32" s="33" t="n"/>
      <c r="F32" s="33" t="n"/>
      <c r="G32" s="33" t="n"/>
      <c r="H32" s="109" t="n"/>
      <c r="I32" s="33" t="n"/>
      <c r="J32" s="33" t="n"/>
      <c r="K32" s="104" t="n"/>
      <c r="L32" s="1" t="n"/>
      <c r="M32" s="1" t="n"/>
      <c r="N32" s="1" t="n"/>
      <c r="O32" s="1" t="n"/>
    </row>
    <row r="33" ht="18" customHeight="1">
      <c r="A33" s="1" t="n"/>
      <c r="B33" s="39" t="n"/>
      <c r="C33" s="39" t="n"/>
      <c r="D33" s="101" t="n"/>
      <c r="E33" s="39" t="n"/>
      <c r="F33" s="39" t="n"/>
      <c r="G33" s="39" t="n"/>
      <c r="H33" s="107" t="n"/>
      <c r="I33" s="39" t="n"/>
      <c r="J33" s="39" t="n"/>
      <c r="K33" s="104" t="n"/>
      <c r="L33" s="1" t="n"/>
      <c r="M33" s="1" t="n"/>
      <c r="N33" s="1" t="n"/>
      <c r="O33" s="1" t="n"/>
    </row>
    <row r="34" ht="18" customHeight="1">
      <c r="A34" s="1" t="n"/>
      <c r="B34" s="33" t="n"/>
      <c r="C34" s="33" t="n"/>
      <c r="D34" s="102" t="n"/>
      <c r="E34" s="33" t="n"/>
      <c r="F34" s="33" t="n"/>
      <c r="G34" s="33" t="n"/>
      <c r="H34" s="109" t="n"/>
      <c r="I34" s="33" t="n"/>
      <c r="J34" s="33" t="n"/>
      <c r="K34" s="104" t="n"/>
      <c r="L34" s="1" t="n"/>
      <c r="M34" s="1" t="n"/>
      <c r="N34" s="1" t="n"/>
      <c r="O34" s="1" t="n"/>
    </row>
    <row r="35" ht="18" customHeight="1">
      <c r="A35" s="1" t="n"/>
      <c r="B35" s="39" t="n"/>
      <c r="C35" s="39" t="n"/>
      <c r="D35" s="101" t="n"/>
      <c r="E35" s="39" t="n"/>
      <c r="F35" s="39" t="n"/>
      <c r="G35" s="39" t="n"/>
      <c r="H35" s="107" t="n"/>
      <c r="I35" s="39" t="n"/>
      <c r="J35" s="39" t="n"/>
      <c r="K35" s="104" t="n"/>
      <c r="L35" s="1" t="n"/>
      <c r="M35" s="1" t="n"/>
      <c r="N35" s="1" t="n"/>
      <c r="O35" s="1" t="n"/>
    </row>
    <row r="36" ht="18" customHeight="1">
      <c r="A36" s="1" t="n"/>
      <c r="B36" s="33" t="n"/>
      <c r="C36" s="33" t="n"/>
      <c r="D36" s="102" t="n"/>
      <c r="E36" s="33" t="n"/>
      <c r="F36" s="33" t="n"/>
      <c r="G36" s="33" t="n"/>
      <c r="H36" s="109" t="n"/>
      <c r="I36" s="33" t="n"/>
      <c r="J36" s="33" t="n"/>
      <c r="K36" s="104" t="n"/>
      <c r="L36" s="1" t="n"/>
      <c r="M36" s="1" t="n"/>
      <c r="N36" s="1" t="n"/>
      <c r="O36" s="1" t="n"/>
    </row>
    <row r="37" ht="18" customHeight="1">
      <c r="A37" s="1" t="n"/>
      <c r="B37" s="39" t="n"/>
      <c r="C37" s="39" t="n"/>
      <c r="D37" s="101" t="n"/>
      <c r="E37" s="39" t="n"/>
      <c r="F37" s="39" t="n"/>
      <c r="G37" s="39" t="n"/>
      <c r="H37" s="107" t="n"/>
      <c r="I37" s="39" t="n"/>
      <c r="J37" s="39" t="n"/>
      <c r="K37" s="104" t="n"/>
      <c r="L37" s="1" t="n"/>
      <c r="M37" s="1" t="n"/>
      <c r="N37" s="1" t="n"/>
      <c r="O37" s="1" t="n"/>
    </row>
    <row r="38" ht="18" customHeight="1">
      <c r="A38" s="1" t="n"/>
      <c r="B38" s="33" t="n"/>
      <c r="C38" s="33" t="n"/>
      <c r="D38" s="102" t="n"/>
      <c r="E38" s="33" t="n"/>
      <c r="F38" s="33" t="n"/>
      <c r="G38" s="33" t="n"/>
      <c r="H38" s="109" t="n"/>
      <c r="I38" s="33" t="n"/>
      <c r="J38" s="33" t="n"/>
      <c r="K38" s="104" t="n"/>
      <c r="L38" s="1" t="n"/>
      <c r="M38" s="1" t="n"/>
      <c r="N38" s="1" t="n"/>
      <c r="O38" s="1" t="n"/>
    </row>
    <row r="39" ht="18" customHeight="1">
      <c r="A39" s="1" t="n"/>
      <c r="B39" s="39" t="n"/>
      <c r="C39" s="39" t="n"/>
      <c r="D39" s="101" t="n"/>
      <c r="E39" s="39" t="n"/>
      <c r="F39" s="39" t="n"/>
      <c r="G39" s="39" t="n"/>
      <c r="H39" s="107" t="n"/>
      <c r="I39" s="39" t="n"/>
      <c r="J39" s="39" t="n"/>
      <c r="K39" s="104" t="n"/>
      <c r="L39" s="1" t="n"/>
      <c r="M39" s="1" t="n"/>
      <c r="N39" s="1" t="n"/>
      <c r="O39" s="1" t="n"/>
    </row>
    <row r="40" ht="18" customHeight="1">
      <c r="A40" s="1" t="n"/>
      <c r="B40" s="33" t="n"/>
      <c r="C40" s="33" t="n"/>
      <c r="D40" s="102" t="n"/>
      <c r="E40" s="33" t="n"/>
      <c r="F40" s="33" t="n"/>
      <c r="G40" s="33" t="n"/>
      <c r="H40" s="109" t="n"/>
      <c r="I40" s="33" t="n"/>
      <c r="J40" s="33" t="n"/>
      <c r="K40" s="104" t="n"/>
      <c r="L40" s="1" t="n"/>
      <c r="M40" s="1" t="n"/>
      <c r="N40" s="1" t="n"/>
      <c r="O40" s="1" t="n"/>
    </row>
    <row r="41" ht="18" customHeight="1">
      <c r="A41" s="1" t="n"/>
      <c r="B41" s="39" t="n"/>
      <c r="C41" s="39" t="n"/>
      <c r="D41" s="101" t="n"/>
      <c r="E41" s="39" t="n"/>
      <c r="F41" s="39" t="n"/>
      <c r="G41" s="39" t="n"/>
      <c r="H41" s="107" t="n"/>
      <c r="I41" s="39" t="n"/>
      <c r="J41" s="39" t="n"/>
      <c r="K41" s="104" t="n"/>
      <c r="L41" s="1" t="n"/>
      <c r="M41" s="1" t="n"/>
      <c r="N41" s="1" t="n"/>
      <c r="O41" s="1" t="n"/>
    </row>
    <row r="42" ht="18" customHeight="1">
      <c r="A42" s="1" t="n"/>
      <c r="B42" s="33" t="n"/>
      <c r="C42" s="33" t="n"/>
      <c r="D42" s="102" t="n"/>
      <c r="E42" s="33" t="n"/>
      <c r="F42" s="33" t="n"/>
      <c r="G42" s="33" t="n"/>
      <c r="H42" s="109" t="n"/>
      <c r="I42" s="33" t="n"/>
      <c r="J42" s="33" t="n"/>
      <c r="K42" s="104" t="n"/>
      <c r="L42" s="1" t="n"/>
      <c r="M42" s="1" t="n"/>
      <c r="N42" s="1" t="n"/>
      <c r="O42" s="1" t="n"/>
    </row>
    <row r="43" ht="18" customHeight="1">
      <c r="A43" s="1" t="n"/>
      <c r="B43" s="39" t="n"/>
      <c r="C43" s="39" t="n"/>
      <c r="D43" s="101" t="n"/>
      <c r="E43" s="39" t="n"/>
      <c r="F43" s="39" t="n"/>
      <c r="G43" s="39" t="n"/>
      <c r="H43" s="107" t="n"/>
      <c r="I43" s="39" t="n"/>
      <c r="J43" s="39" t="n"/>
      <c r="K43" s="104" t="n"/>
      <c r="L43" s="1" t="n"/>
      <c r="M43" s="1" t="n"/>
      <c r="N43" s="1" t="n"/>
      <c r="O43" s="1" t="n"/>
    </row>
    <row r="44" ht="18" customHeight="1">
      <c r="A44" s="1" t="n"/>
      <c r="B44" s="33" t="n"/>
      <c r="C44" s="33" t="n"/>
      <c r="D44" s="102" t="n"/>
      <c r="E44" s="33" t="n"/>
      <c r="F44" s="33" t="n"/>
      <c r="G44" s="33" t="n"/>
      <c r="H44" s="109" t="n"/>
      <c r="I44" s="33" t="n"/>
      <c r="J44" s="33" t="n"/>
      <c r="K44" s="104" t="n"/>
      <c r="L44" s="1" t="n"/>
      <c r="M44" s="1" t="n"/>
      <c r="N44" s="1" t="n"/>
      <c r="O44" s="1" t="n"/>
    </row>
    <row r="45" ht="18" customHeight="1">
      <c r="A45" s="1" t="n"/>
      <c r="B45" s="39" t="n"/>
      <c r="C45" s="39" t="n"/>
      <c r="D45" s="101" t="n"/>
      <c r="E45" s="39" t="n"/>
      <c r="F45" s="39" t="n"/>
      <c r="G45" s="39" t="n"/>
      <c r="H45" s="107" t="n"/>
      <c r="I45" s="39" t="n"/>
      <c r="J45" s="39" t="n"/>
      <c r="K45" s="104" t="n"/>
      <c r="L45" s="1" t="n"/>
      <c r="M45" s="1" t="n"/>
      <c r="N45" s="1" t="n"/>
      <c r="O45" s="1" t="n"/>
    </row>
    <row r="46" ht="18" customHeight="1">
      <c r="A46" s="1" t="n"/>
      <c r="B46" s="33" t="n"/>
      <c r="C46" s="33" t="n"/>
      <c r="D46" s="102" t="n"/>
      <c r="E46" s="33" t="n"/>
      <c r="F46" s="33" t="n"/>
      <c r="G46" s="33" t="n"/>
      <c r="H46" s="109" t="n"/>
      <c r="I46" s="33" t="n"/>
      <c r="J46" s="33" t="n"/>
      <c r="K46" s="104" t="n"/>
      <c r="L46" s="1" t="n"/>
      <c r="M46" s="1" t="n"/>
      <c r="N46" s="1" t="n"/>
      <c r="O46" s="1" t="n"/>
    </row>
    <row r="47" ht="18" customHeight="1">
      <c r="A47" s="1" t="n"/>
      <c r="B47" s="39" t="n"/>
      <c r="C47" s="39" t="n"/>
      <c r="D47" s="101" t="n"/>
      <c r="E47" s="39" t="n"/>
      <c r="F47" s="39" t="n"/>
      <c r="G47" s="39" t="n"/>
      <c r="H47" s="107" t="n"/>
      <c r="I47" s="39" t="n"/>
      <c r="J47" s="39" t="n"/>
      <c r="K47" s="104" t="n"/>
      <c r="L47" s="1" t="n"/>
      <c r="M47" s="1" t="n"/>
      <c r="N47" s="1" t="n"/>
      <c r="O47" s="1" t="n"/>
    </row>
    <row r="48" ht="18" customHeight="1">
      <c r="A48" s="1" t="n"/>
      <c r="B48" s="33" t="n"/>
      <c r="C48" s="33" t="n"/>
      <c r="D48" s="102" t="n"/>
      <c r="E48" s="33" t="n"/>
      <c r="F48" s="33" t="n"/>
      <c r="G48" s="33" t="n"/>
      <c r="H48" s="109" t="n"/>
      <c r="I48" s="33" t="n"/>
      <c r="J48" s="33" t="n"/>
      <c r="K48" s="104" t="n"/>
      <c r="L48" s="1" t="n"/>
      <c r="M48" s="1" t="n"/>
      <c r="N48" s="1" t="n"/>
      <c r="O48" s="1" t="n"/>
    </row>
    <row r="49" ht="18" customHeight="1">
      <c r="A49" s="1" t="n"/>
      <c r="B49" s="39" t="n"/>
      <c r="C49" s="39" t="n"/>
      <c r="D49" s="101" t="n"/>
      <c r="E49" s="39" t="n"/>
      <c r="F49" s="39" t="n"/>
      <c r="G49" s="39" t="n"/>
      <c r="H49" s="107" t="n"/>
      <c r="I49" s="39" t="n"/>
      <c r="J49" s="39" t="n"/>
      <c r="K49" s="104" t="n"/>
      <c r="L49" s="1" t="n"/>
      <c r="M49" s="1" t="n"/>
      <c r="N49" s="1" t="n"/>
      <c r="O49" s="1" t="n"/>
    </row>
    <row r="50" ht="18" customHeight="1">
      <c r="A50" s="1" t="n"/>
      <c r="B50" s="33" t="n"/>
      <c r="C50" s="33" t="n"/>
      <c r="D50" s="102" t="n"/>
      <c r="E50" s="33" t="n"/>
      <c r="F50" s="33" t="n"/>
      <c r="G50" s="33" t="n"/>
      <c r="H50" s="109" t="n"/>
      <c r="I50" s="33" t="n"/>
      <c r="J50" s="33" t="n"/>
      <c r="K50" s="104" t="n"/>
      <c r="L50" s="1" t="n"/>
      <c r="M50" s="1" t="n"/>
      <c r="N50" s="1" t="n"/>
      <c r="O50" s="1" t="n"/>
    </row>
    <row r="51" ht="18" customHeight="1">
      <c r="A51" s="1" t="n"/>
      <c r="B51" s="39" t="n"/>
      <c r="C51" s="39" t="n"/>
      <c r="D51" s="101" t="n"/>
      <c r="E51" s="39" t="n"/>
      <c r="F51" s="39" t="n"/>
      <c r="G51" s="39" t="n"/>
      <c r="H51" s="107" t="n"/>
      <c r="I51" s="39" t="n"/>
      <c r="J51" s="39" t="n"/>
      <c r="K51" s="104" t="n"/>
      <c r="L51" s="1" t="n"/>
      <c r="M51" s="1" t="n"/>
      <c r="N51" s="1" t="n"/>
      <c r="O51" s="1" t="n"/>
    </row>
    <row r="52" ht="18" customHeight="1">
      <c r="A52" s="1" t="n"/>
      <c r="B52" s="33" t="n"/>
      <c r="C52" s="33" t="n"/>
      <c r="D52" s="102" t="n"/>
      <c r="E52" s="33" t="n"/>
      <c r="F52" s="33" t="n"/>
      <c r="G52" s="33" t="n"/>
      <c r="H52" s="109" t="n"/>
      <c r="I52" s="33" t="n"/>
      <c r="J52" s="33" t="n"/>
      <c r="K52" s="104" t="n"/>
      <c r="L52" s="1" t="n"/>
      <c r="M52" s="1" t="n"/>
      <c r="N52" s="1" t="n"/>
      <c r="O52" s="1" t="n"/>
    </row>
    <row r="53" ht="18" customHeight="1">
      <c r="A53" s="1" t="n"/>
      <c r="B53" s="39" t="n"/>
      <c r="C53" s="39" t="n"/>
      <c r="D53" s="101" t="n"/>
      <c r="E53" s="39" t="n"/>
      <c r="F53" s="39" t="n"/>
      <c r="G53" s="39" t="n"/>
      <c r="H53" s="107" t="n"/>
      <c r="I53" s="39" t="n"/>
      <c r="J53" s="39" t="n"/>
      <c r="K53" s="104" t="n"/>
      <c r="L53" s="1" t="n"/>
      <c r="M53" s="1" t="n"/>
      <c r="N53" s="1" t="n"/>
      <c r="O53" s="1" t="n"/>
    </row>
    <row r="54" ht="18" customHeight="1">
      <c r="A54" s="1" t="n"/>
      <c r="B54" s="33" t="n"/>
      <c r="C54" s="33" t="n"/>
      <c r="D54" s="102" t="n"/>
      <c r="E54" s="33" t="n"/>
      <c r="F54" s="33" t="n"/>
      <c r="G54" s="33" t="n"/>
      <c r="H54" s="109" t="n"/>
      <c r="I54" s="33" t="n"/>
      <c r="J54" s="33" t="n"/>
      <c r="K54" s="104" t="n"/>
      <c r="L54" s="1" t="n"/>
      <c r="M54" s="1" t="n"/>
      <c r="N54" s="1" t="n"/>
      <c r="O54" s="1" t="n"/>
    </row>
    <row r="55" ht="18" customHeight="1">
      <c r="A55" s="1" t="n"/>
      <c r="B55" s="39" t="n"/>
      <c r="C55" s="39" t="n"/>
      <c r="D55" s="101" t="n"/>
      <c r="E55" s="39" t="n"/>
      <c r="F55" s="39" t="n"/>
      <c r="G55" s="39" t="n"/>
      <c r="H55" s="107" t="n"/>
      <c r="I55" s="39" t="n"/>
      <c r="J55" s="39" t="n"/>
      <c r="K55" s="104" t="n"/>
      <c r="L55" s="1" t="n"/>
      <c r="M55" s="1" t="n"/>
      <c r="N55" s="1" t="n"/>
      <c r="O55" s="1" t="n"/>
    </row>
    <row r="56" ht="18" customHeight="1">
      <c r="A56" s="1" t="n"/>
      <c r="B56" s="33" t="n"/>
      <c r="C56" s="33" t="n"/>
      <c r="D56" s="102" t="n"/>
      <c r="E56" s="33" t="n"/>
      <c r="F56" s="33" t="n"/>
      <c r="G56" s="33" t="n"/>
      <c r="H56" s="109" t="n"/>
      <c r="I56" s="33" t="n"/>
      <c r="J56" s="33" t="n"/>
      <c r="K56" s="104" t="n"/>
      <c r="L56" s="1" t="n"/>
      <c r="M56" s="1" t="n"/>
      <c r="N56" s="1" t="n"/>
      <c r="O56" s="1" t="n"/>
    </row>
    <row r="57" ht="18" customHeight="1">
      <c r="A57" s="1" t="n"/>
      <c r="B57" s="39" t="n"/>
      <c r="C57" s="39" t="n"/>
      <c r="D57" s="101" t="n"/>
      <c r="E57" s="39" t="n"/>
      <c r="F57" s="39" t="n"/>
      <c r="G57" s="39" t="n"/>
      <c r="H57" s="107" t="n"/>
      <c r="I57" s="39" t="n"/>
      <c r="J57" s="39" t="n"/>
      <c r="K57" s="104" t="n"/>
      <c r="L57" s="1" t="n"/>
      <c r="M57" s="1" t="n"/>
      <c r="N57" s="1" t="n"/>
      <c r="O57" s="1" t="n"/>
    </row>
    <row r="58" ht="18" customHeight="1">
      <c r="A58" s="1" t="n"/>
      <c r="B58" s="33" t="n"/>
      <c r="C58" s="33" t="n"/>
      <c r="D58" s="102" t="n"/>
      <c r="E58" s="33" t="n"/>
      <c r="F58" s="33" t="n"/>
      <c r="G58" s="33" t="n"/>
      <c r="H58" s="109" t="n"/>
      <c r="I58" s="33" t="n"/>
      <c r="J58" s="33" t="n"/>
      <c r="K58" s="104" t="n"/>
      <c r="L58" s="1" t="n"/>
      <c r="M58" s="1" t="n"/>
      <c r="N58" s="1" t="n"/>
      <c r="O58" s="1" t="n"/>
    </row>
    <row r="59" ht="18" customHeight="1">
      <c r="A59" s="1" t="n"/>
      <c r="B59" s="39" t="n"/>
      <c r="C59" s="39" t="n"/>
      <c r="D59" s="101" t="n"/>
      <c r="E59" s="39" t="n"/>
      <c r="F59" s="39" t="n"/>
      <c r="G59" s="39" t="n"/>
      <c r="H59" s="107" t="n"/>
      <c r="I59" s="39" t="n"/>
      <c r="J59" s="39" t="n"/>
      <c r="K59" s="104" t="n"/>
      <c r="L59" s="1" t="n"/>
      <c r="M59" s="1" t="n"/>
      <c r="N59" s="1" t="n"/>
      <c r="O59" s="1" t="n"/>
    </row>
    <row r="60" ht="18" customHeight="1">
      <c r="A60" s="1" t="n"/>
      <c r="B60" s="33" t="n"/>
      <c r="C60" s="33" t="n"/>
      <c r="D60" s="102" t="n"/>
      <c r="E60" s="33" t="n"/>
      <c r="F60" s="33" t="n"/>
      <c r="G60" s="33" t="n"/>
      <c r="H60" s="109" t="n"/>
      <c r="I60" s="33" t="n"/>
      <c r="J60" s="33" t="n"/>
      <c r="K60" s="104" t="n"/>
      <c r="L60" s="1" t="n"/>
      <c r="M60" s="1" t="n"/>
      <c r="N60" s="1" t="n"/>
      <c r="O60" s="1" t="n"/>
    </row>
    <row r="61" ht="18" customHeight="1">
      <c r="A61" s="1" t="n"/>
      <c r="B61" s="39" t="n"/>
      <c r="C61" s="39" t="n"/>
      <c r="D61" s="101" t="n"/>
      <c r="E61" s="39" t="n"/>
      <c r="F61" s="39" t="n"/>
      <c r="G61" s="39" t="n"/>
      <c r="H61" s="107" t="n"/>
      <c r="I61" s="39" t="n"/>
      <c r="J61" s="39" t="n"/>
      <c r="K61" s="104" t="n"/>
      <c r="L61" s="1" t="n"/>
      <c r="M61" s="1" t="n"/>
      <c r="N61" s="1" t="n"/>
      <c r="O61" s="1" t="n"/>
    </row>
    <row r="62" ht="18" customHeight="1">
      <c r="A62" s="1" t="n"/>
      <c r="B62" s="33" t="n"/>
      <c r="C62" s="33" t="n"/>
      <c r="D62" s="102" t="n"/>
      <c r="E62" s="33" t="n"/>
      <c r="F62" s="33" t="n"/>
      <c r="G62" s="33" t="n"/>
      <c r="H62" s="109" t="n"/>
      <c r="I62" s="33" t="n"/>
      <c r="J62" s="33" t="n"/>
      <c r="K62" s="104" t="n"/>
      <c r="L62" s="1" t="n"/>
      <c r="M62" s="1" t="n"/>
      <c r="N62" s="1" t="n"/>
      <c r="O62" s="1" t="n"/>
    </row>
    <row r="63" ht="18" customHeight="1">
      <c r="A63" s="1" t="n"/>
      <c r="B63" s="39" t="n"/>
      <c r="C63" s="39" t="n"/>
      <c r="D63" s="101" t="n"/>
      <c r="E63" s="39" t="n"/>
      <c r="F63" s="39" t="n"/>
      <c r="G63" s="39" t="n"/>
      <c r="H63" s="107" t="n"/>
      <c r="I63" s="39" t="n"/>
      <c r="J63" s="39" t="n"/>
      <c r="K63" s="104" t="n"/>
      <c r="L63" s="1" t="n"/>
      <c r="M63" s="1" t="n"/>
      <c r="N63" s="1" t="n"/>
      <c r="O63" s="1" t="n"/>
    </row>
    <row r="64" ht="18" customHeight="1">
      <c r="A64" s="1" t="n"/>
      <c r="B64" s="33" t="n"/>
      <c r="C64" s="33" t="n"/>
      <c r="D64" s="102" t="n"/>
      <c r="E64" s="33" t="n"/>
      <c r="F64" s="33" t="n"/>
      <c r="G64" s="33" t="n"/>
      <c r="H64" s="109" t="n"/>
      <c r="I64" s="33" t="n"/>
      <c r="J64" s="33" t="n"/>
      <c r="K64" s="104" t="n"/>
      <c r="L64" s="1" t="n"/>
      <c r="M64" s="1" t="n"/>
      <c r="N64" s="1" t="n"/>
      <c r="O64" s="1" t="n"/>
    </row>
    <row r="65" ht="18" customHeight="1">
      <c r="A65" s="1" t="n"/>
      <c r="B65" s="39" t="n"/>
      <c r="C65" s="39" t="n"/>
      <c r="D65" s="101" t="n"/>
      <c r="E65" s="39" t="n"/>
      <c r="F65" s="39" t="n"/>
      <c r="G65" s="39" t="n"/>
      <c r="H65" s="107" t="n"/>
      <c r="I65" s="39" t="n"/>
      <c r="J65" s="39" t="n"/>
      <c r="K65" s="104" t="n"/>
      <c r="L65" s="1" t="n"/>
      <c r="M65" s="1" t="n"/>
      <c r="N65" s="1" t="n"/>
      <c r="O65" s="1" t="n"/>
    </row>
    <row r="66" ht="18" customHeight="1">
      <c r="A66" s="1" t="n"/>
      <c r="B66" s="33" t="n"/>
      <c r="C66" s="33" t="n"/>
      <c r="D66" s="102" t="n"/>
      <c r="E66" s="33" t="n"/>
      <c r="F66" s="33" t="n"/>
      <c r="G66" s="33" t="n"/>
      <c r="H66" s="109" t="n"/>
      <c r="I66" s="33" t="n"/>
      <c r="J66" s="33" t="n"/>
      <c r="K66" s="104" t="n"/>
      <c r="L66" s="1" t="n"/>
      <c r="M66" s="1" t="n"/>
      <c r="N66" s="1" t="n"/>
      <c r="O66" s="1" t="n"/>
    </row>
    <row r="67" ht="18" customHeight="1">
      <c r="A67" s="1" t="n"/>
      <c r="B67" s="39" t="n"/>
      <c r="C67" s="39" t="n"/>
      <c r="D67" s="101" t="n"/>
      <c r="E67" s="39" t="n"/>
      <c r="F67" s="39" t="n"/>
      <c r="G67" s="39" t="n"/>
      <c r="H67" s="107" t="n"/>
      <c r="I67" s="39" t="n"/>
      <c r="J67" s="39" t="n"/>
      <c r="K67" s="104" t="n"/>
      <c r="L67" s="1" t="n"/>
      <c r="M67" s="1" t="n"/>
      <c r="N67" s="1" t="n"/>
      <c r="O67" s="1" t="n"/>
    </row>
    <row r="68" ht="18" customHeight="1">
      <c r="A68" s="1" t="n"/>
      <c r="B68" s="33" t="n"/>
      <c r="C68" s="33" t="n"/>
      <c r="D68" s="102" t="n"/>
      <c r="E68" s="33" t="n"/>
      <c r="F68" s="33" t="n"/>
      <c r="G68" s="33" t="n"/>
      <c r="H68" s="109" t="n"/>
      <c r="I68" s="33" t="n"/>
      <c r="J68" s="33" t="n"/>
      <c r="K68" s="104" t="n"/>
      <c r="L68" s="1" t="n"/>
      <c r="M68" s="1" t="n"/>
      <c r="N68" s="1" t="n"/>
      <c r="O68" s="1" t="n"/>
    </row>
    <row r="69" ht="18" customHeight="1">
      <c r="A69" s="1" t="n"/>
      <c r="B69" s="39" t="n"/>
      <c r="C69" s="39" t="n"/>
      <c r="D69" s="101" t="n"/>
      <c r="E69" s="39" t="n"/>
      <c r="F69" s="39" t="n"/>
      <c r="G69" s="39" t="n"/>
      <c r="H69" s="107" t="n"/>
      <c r="I69" s="39" t="n"/>
      <c r="J69" s="39" t="n"/>
      <c r="K69" s="104" t="n"/>
      <c r="L69" s="1" t="n"/>
      <c r="M69" s="1" t="n"/>
      <c r="N69" s="1" t="n"/>
      <c r="O69" s="1" t="n"/>
    </row>
    <row r="70" ht="18" customHeight="1">
      <c r="A70" s="1" t="n"/>
      <c r="B70" s="33" t="n"/>
      <c r="C70" s="33" t="n"/>
      <c r="D70" s="102" t="n"/>
      <c r="E70" s="33" t="n"/>
      <c r="F70" s="33" t="n"/>
      <c r="G70" s="33" t="n"/>
      <c r="H70" s="109" t="n"/>
      <c r="I70" s="33" t="n"/>
      <c r="J70" s="33" t="n"/>
      <c r="K70" s="104" t="n"/>
      <c r="L70" s="1" t="n"/>
      <c r="M70" s="1" t="n"/>
      <c r="N70" s="1" t="n"/>
      <c r="O70" s="1" t="n"/>
    </row>
    <row r="71" ht="18" customHeight="1">
      <c r="A71" s="1" t="n"/>
      <c r="B71" s="39" t="n"/>
      <c r="C71" s="39" t="n"/>
      <c r="D71" s="101" t="n"/>
      <c r="E71" s="39" t="n"/>
      <c r="F71" s="39" t="n"/>
      <c r="G71" s="39" t="n"/>
      <c r="H71" s="107" t="n"/>
      <c r="I71" s="39" t="n"/>
      <c r="J71" s="39" t="n"/>
      <c r="K71" s="104" t="n"/>
      <c r="L71" s="1" t="n"/>
      <c r="M71" s="1" t="n"/>
      <c r="N71" s="1" t="n"/>
      <c r="O71" s="1" t="n"/>
    </row>
    <row r="72" ht="18" customHeight="1">
      <c r="A72" s="1" t="n"/>
      <c r="B72" s="33" t="n"/>
      <c r="C72" s="33" t="n"/>
      <c r="D72" s="102" t="n"/>
      <c r="E72" s="33" t="n"/>
      <c r="F72" s="33" t="n"/>
      <c r="G72" s="33" t="n"/>
      <c r="H72" s="109" t="n"/>
      <c r="I72" s="33" t="n"/>
      <c r="J72" s="33" t="n"/>
      <c r="K72" s="104" t="n"/>
      <c r="L72" s="1" t="n"/>
      <c r="M72" s="1" t="n"/>
      <c r="N72" s="1" t="n"/>
      <c r="O72" s="1" t="n"/>
    </row>
    <row r="73" ht="18" customHeight="1">
      <c r="A73" s="1" t="n"/>
      <c r="B73" s="39" t="n"/>
      <c r="C73" s="39" t="n"/>
      <c r="D73" s="101" t="n"/>
      <c r="E73" s="39" t="n"/>
      <c r="F73" s="39" t="n"/>
      <c r="G73" s="39" t="n"/>
      <c r="H73" s="107" t="n"/>
      <c r="I73" s="39" t="n"/>
      <c r="J73" s="39" t="n"/>
      <c r="K73" s="104" t="n"/>
      <c r="L73" s="1" t="n"/>
      <c r="M73" s="1" t="n"/>
      <c r="N73" s="1" t="n"/>
      <c r="O73" s="1" t="n"/>
    </row>
    <row r="74" ht="18" customHeight="1">
      <c r="A74" s="1" t="n"/>
      <c r="B74" s="33" t="n"/>
      <c r="C74" s="33" t="n"/>
      <c r="D74" s="102" t="n"/>
      <c r="E74" s="33" t="n"/>
      <c r="F74" s="33" t="n"/>
      <c r="G74" s="33" t="n"/>
      <c r="H74" s="109" t="n"/>
      <c r="I74" s="33" t="n"/>
      <c r="J74" s="33" t="n"/>
      <c r="K74" s="104" t="n"/>
      <c r="L74" s="1" t="n"/>
      <c r="M74" s="1" t="n"/>
      <c r="N74" s="1" t="n"/>
      <c r="O74" s="1" t="n"/>
    </row>
    <row r="75" ht="18" customHeight="1">
      <c r="A75" s="1" t="n"/>
      <c r="B75" s="39" t="n"/>
      <c r="C75" s="39" t="n"/>
      <c r="D75" s="101" t="n"/>
      <c r="E75" s="39" t="n"/>
      <c r="F75" s="39" t="n"/>
      <c r="G75" s="39" t="n"/>
      <c r="H75" s="107" t="n"/>
      <c r="I75" s="39" t="n"/>
      <c r="J75" s="39" t="n"/>
      <c r="K75" s="104" t="n"/>
      <c r="L75" s="1" t="n"/>
      <c r="M75" s="1" t="n"/>
      <c r="N75" s="1" t="n"/>
      <c r="O75" s="1" t="n"/>
    </row>
    <row r="76" ht="18" customHeight="1">
      <c r="A76" s="1" t="n"/>
      <c r="B76" s="33" t="n"/>
      <c r="C76" s="33" t="n"/>
      <c r="D76" s="102" t="n"/>
      <c r="E76" s="33" t="n"/>
      <c r="F76" s="33" t="n"/>
      <c r="G76" s="33" t="n"/>
      <c r="H76" s="109" t="n"/>
      <c r="I76" s="33" t="n"/>
      <c r="J76" s="33" t="n"/>
      <c r="K76" s="104" t="n"/>
      <c r="L76" s="1" t="n"/>
      <c r="M76" s="1" t="n"/>
      <c r="N76" s="1" t="n"/>
      <c r="O76" s="1" t="n"/>
    </row>
    <row r="77" ht="18" customHeight="1">
      <c r="A77" s="1" t="n"/>
      <c r="B77" s="39" t="n"/>
      <c r="C77" s="39" t="n"/>
      <c r="D77" s="101" t="n"/>
      <c r="E77" s="39" t="n"/>
      <c r="F77" s="39" t="n"/>
      <c r="G77" s="39" t="n"/>
      <c r="H77" s="107" t="n"/>
      <c r="I77" s="39" t="n"/>
      <c r="J77" s="39" t="n"/>
      <c r="K77" s="104" t="n"/>
      <c r="L77" s="1" t="n"/>
      <c r="M77" s="1" t="n"/>
      <c r="N77" s="1" t="n"/>
      <c r="O77" s="1" t="n"/>
    </row>
    <row r="78" ht="18" customHeight="1">
      <c r="A78" s="1" t="n"/>
      <c r="B78" s="33" t="n"/>
      <c r="C78" s="33" t="n"/>
      <c r="D78" s="102" t="n"/>
      <c r="E78" s="33" t="n"/>
      <c r="F78" s="33" t="n"/>
      <c r="G78" s="33" t="n"/>
      <c r="H78" s="109" t="n"/>
      <c r="I78" s="33" t="n"/>
      <c r="J78" s="33" t="n"/>
      <c r="K78" s="104" t="n"/>
      <c r="L78" s="1" t="n"/>
      <c r="M78" s="1" t="n"/>
      <c r="N78" s="1" t="n"/>
      <c r="O78" s="1" t="n"/>
    </row>
    <row r="79" ht="18" customHeight="1">
      <c r="A79" s="1" t="n"/>
      <c r="B79" s="39" t="n"/>
      <c r="C79" s="39" t="n"/>
      <c r="D79" s="101" t="n"/>
      <c r="E79" s="39" t="n"/>
      <c r="F79" s="39" t="n"/>
      <c r="G79" s="39" t="n"/>
      <c r="H79" s="107" t="n"/>
      <c r="I79" s="39" t="n"/>
      <c r="J79" s="39" t="n"/>
      <c r="K79" s="104" t="n"/>
      <c r="L79" s="1" t="n"/>
      <c r="M79" s="1" t="n"/>
      <c r="N79" s="1" t="n"/>
      <c r="O79" s="1" t="n"/>
    </row>
    <row r="80" ht="18" customHeight="1">
      <c r="A80" s="1" t="n"/>
      <c r="B80" s="33" t="n"/>
      <c r="C80" s="33" t="n"/>
      <c r="D80" s="102" t="n"/>
      <c r="E80" s="33" t="n"/>
      <c r="F80" s="33" t="n"/>
      <c r="G80" s="33" t="n"/>
      <c r="H80" s="109" t="n"/>
      <c r="I80" s="33" t="n"/>
      <c r="J80" s="33" t="n"/>
      <c r="K80" s="104" t="n"/>
      <c r="L80" s="1" t="n"/>
      <c r="M80" s="1" t="n"/>
      <c r="N80" s="1" t="n"/>
      <c r="O80" s="1" t="n"/>
    </row>
    <row r="81" ht="18" customHeight="1">
      <c r="A81" s="1" t="n"/>
      <c r="B81" s="39" t="n"/>
      <c r="C81" s="39" t="n"/>
      <c r="D81" s="101" t="n"/>
      <c r="E81" s="39" t="n"/>
      <c r="F81" s="39" t="n"/>
      <c r="G81" s="39" t="n"/>
      <c r="H81" s="107" t="n"/>
      <c r="I81" s="39" t="n"/>
      <c r="J81" s="39" t="n"/>
      <c r="K81" s="104" t="n"/>
      <c r="L81" s="1" t="n"/>
      <c r="M81" s="1" t="n"/>
      <c r="N81" s="1" t="n"/>
      <c r="O81" s="1" t="n"/>
    </row>
    <row r="82" ht="18" customHeight="1">
      <c r="A82" s="1" t="n"/>
      <c r="B82" s="33" t="n"/>
      <c r="C82" s="33" t="n"/>
      <c r="D82" s="102" t="n"/>
      <c r="E82" s="33" t="n"/>
      <c r="F82" s="33" t="n"/>
      <c r="G82" s="33" t="n"/>
      <c r="H82" s="109" t="n"/>
      <c r="I82" s="33" t="n"/>
      <c r="J82" s="33" t="n"/>
      <c r="K82" s="104" t="n"/>
      <c r="L82" s="1" t="n"/>
      <c r="M82" s="1" t="n"/>
      <c r="N82" s="1" t="n"/>
      <c r="O82" s="1" t="n"/>
    </row>
    <row r="83" ht="18" customHeight="1">
      <c r="A83" s="1" t="n"/>
      <c r="B83" s="39" t="n"/>
      <c r="C83" s="39" t="n"/>
      <c r="D83" s="101" t="n"/>
      <c r="E83" s="39" t="n"/>
      <c r="F83" s="39" t="n"/>
      <c r="G83" s="39" t="n"/>
      <c r="H83" s="107" t="n"/>
      <c r="I83" s="39" t="n"/>
      <c r="J83" s="39" t="n"/>
      <c r="K83" s="104" t="n"/>
      <c r="L83" s="1" t="n"/>
      <c r="M83" s="1" t="n"/>
      <c r="N83" s="1" t="n"/>
      <c r="O83" s="1" t="n"/>
    </row>
    <row r="84" ht="18" customHeight="1">
      <c r="A84" s="1" t="n"/>
      <c r="B84" s="33" t="n"/>
      <c r="C84" s="33" t="n"/>
      <c r="D84" s="102" t="n"/>
      <c r="E84" s="33" t="n"/>
      <c r="F84" s="33" t="n"/>
      <c r="G84" s="33" t="n"/>
      <c r="H84" s="109" t="n"/>
      <c r="I84" s="33" t="n"/>
      <c r="J84" s="33" t="n"/>
      <c r="K84" s="104" t="n"/>
      <c r="L84" s="1" t="n"/>
      <c r="M84" s="1" t="n"/>
      <c r="N84" s="1" t="n"/>
      <c r="O84" s="1" t="n"/>
    </row>
    <row r="85" ht="18" customHeight="1">
      <c r="A85" s="1" t="n"/>
      <c r="B85" s="39" t="n"/>
      <c r="C85" s="39" t="n"/>
      <c r="D85" s="101" t="n"/>
      <c r="E85" s="39" t="n"/>
      <c r="F85" s="39" t="n"/>
      <c r="G85" s="39" t="n"/>
      <c r="H85" s="107" t="n"/>
      <c r="I85" s="39" t="n"/>
      <c r="J85" s="39" t="n"/>
      <c r="K85" s="104" t="n"/>
      <c r="L85" s="1" t="n"/>
      <c r="M85" s="1" t="n"/>
      <c r="N85" s="1" t="n"/>
      <c r="O85" s="1" t="n"/>
    </row>
    <row r="86" ht="18" customHeight="1">
      <c r="A86" s="1" t="n"/>
      <c r="B86" s="33" t="n"/>
      <c r="C86" s="33" t="n"/>
      <c r="D86" s="102" t="n"/>
      <c r="E86" s="33" t="n"/>
      <c r="F86" s="33" t="n"/>
      <c r="G86" s="33" t="n"/>
      <c r="H86" s="109" t="n"/>
      <c r="I86" s="33" t="n"/>
      <c r="J86" s="33" t="n"/>
      <c r="K86" s="104" t="n"/>
      <c r="L86" s="1" t="n"/>
      <c r="M86" s="1" t="n"/>
      <c r="N86" s="1" t="n"/>
      <c r="O86" s="1" t="n"/>
    </row>
    <row r="87" ht="18" customHeight="1">
      <c r="A87" s="1" t="n"/>
      <c r="B87" s="39" t="n"/>
      <c r="C87" s="39" t="n"/>
      <c r="D87" s="101" t="n"/>
      <c r="E87" s="39" t="n"/>
      <c r="F87" s="39" t="n"/>
      <c r="G87" s="39" t="n"/>
      <c r="H87" s="107" t="n"/>
      <c r="I87" s="39" t="n"/>
      <c r="J87" s="39" t="n"/>
      <c r="K87" s="104" t="n"/>
      <c r="L87" s="1" t="n"/>
      <c r="M87" s="1" t="n"/>
      <c r="N87" s="1" t="n"/>
      <c r="O87" s="1" t="n"/>
    </row>
    <row r="88" ht="18" customHeight="1">
      <c r="A88" s="1" t="n"/>
      <c r="B88" s="33" t="n"/>
      <c r="C88" s="33" t="n"/>
      <c r="D88" s="102" t="n"/>
      <c r="E88" s="33" t="n"/>
      <c r="F88" s="33" t="n"/>
      <c r="G88" s="33" t="n"/>
      <c r="H88" s="109" t="n"/>
      <c r="I88" s="33" t="n"/>
      <c r="J88" s="33" t="n"/>
      <c r="K88" s="104" t="n"/>
      <c r="L88" s="1" t="n"/>
      <c r="M88" s="1" t="n"/>
      <c r="N88" s="1" t="n"/>
      <c r="O88" s="1" t="n"/>
    </row>
    <row r="89" ht="18" customHeight="1">
      <c r="A89" s="1" t="n"/>
      <c r="B89" s="39" t="n"/>
      <c r="C89" s="39" t="n"/>
      <c r="D89" s="101" t="n"/>
      <c r="E89" s="39" t="n"/>
      <c r="F89" s="39" t="n"/>
      <c r="G89" s="39" t="n"/>
      <c r="H89" s="107" t="n"/>
      <c r="I89" s="39" t="n"/>
      <c r="J89" s="39" t="n"/>
      <c r="K89" s="104" t="n"/>
      <c r="L89" s="1" t="n"/>
      <c r="M89" s="1" t="n"/>
      <c r="N89" s="1" t="n"/>
      <c r="O89" s="1" t="n"/>
    </row>
    <row r="90" ht="18" customHeight="1">
      <c r="A90" s="1" t="n"/>
      <c r="B90" s="33" t="n"/>
      <c r="C90" s="33" t="n"/>
      <c r="D90" s="102" t="n"/>
      <c r="E90" s="33" t="n"/>
      <c r="F90" s="33" t="n"/>
      <c r="G90" s="33" t="n"/>
      <c r="H90" s="109" t="n"/>
      <c r="I90" s="33" t="n"/>
      <c r="J90" s="33" t="n"/>
      <c r="K90" s="104" t="n"/>
      <c r="L90" s="1" t="n"/>
      <c r="M90" s="1" t="n"/>
      <c r="N90" s="1" t="n"/>
      <c r="O90" s="1" t="n"/>
    </row>
    <row r="91" ht="18" customHeight="1">
      <c r="A91" s="1" t="n"/>
      <c r="B91" s="39" t="n"/>
      <c r="C91" s="39" t="n"/>
      <c r="D91" s="101" t="n"/>
      <c r="E91" s="39" t="n"/>
      <c r="F91" s="39" t="n"/>
      <c r="G91" s="39" t="n"/>
      <c r="H91" s="107" t="n"/>
      <c r="I91" s="39" t="n"/>
      <c r="J91" s="39" t="n"/>
      <c r="K91" s="104" t="n"/>
      <c r="L91" s="1" t="n"/>
      <c r="M91" s="1" t="n"/>
      <c r="N91" s="1" t="n"/>
      <c r="O91" s="1" t="n"/>
    </row>
    <row r="92" ht="18" customHeight="1">
      <c r="A92" s="1" t="n"/>
      <c r="B92" s="33" t="n"/>
      <c r="C92" s="33" t="n"/>
      <c r="D92" s="102" t="n"/>
      <c r="E92" s="33" t="n"/>
      <c r="F92" s="33" t="n"/>
      <c r="G92" s="33" t="n"/>
      <c r="H92" s="109" t="n"/>
      <c r="I92" s="33" t="n"/>
      <c r="J92" s="33" t="n"/>
      <c r="K92" s="104" t="n"/>
      <c r="L92" s="1" t="n"/>
      <c r="M92" s="1" t="n"/>
      <c r="N92" s="1" t="n"/>
      <c r="O92" s="1" t="n"/>
    </row>
    <row r="93" ht="18" customHeight="1">
      <c r="A93" s="1" t="n"/>
      <c r="B93" s="39" t="n"/>
      <c r="C93" s="39" t="n"/>
      <c r="D93" s="101" t="n"/>
      <c r="E93" s="39" t="n"/>
      <c r="F93" s="39" t="n"/>
      <c r="G93" s="39" t="n"/>
      <c r="H93" s="107" t="n"/>
      <c r="I93" s="39" t="n"/>
      <c r="J93" s="39" t="n"/>
      <c r="K93" s="104" t="n"/>
      <c r="L93" s="1" t="n"/>
      <c r="M93" s="1" t="n"/>
      <c r="N93" s="1" t="n"/>
      <c r="O93" s="1" t="n"/>
    </row>
    <row r="94" ht="18" customHeight="1">
      <c r="A94" s="1" t="n"/>
      <c r="B94" s="33" t="n"/>
      <c r="C94" s="33" t="n"/>
      <c r="D94" s="102" t="n"/>
      <c r="E94" s="33" t="n"/>
      <c r="F94" s="33" t="n"/>
      <c r="G94" s="33" t="n"/>
      <c r="H94" s="109" t="n"/>
      <c r="I94" s="33" t="n"/>
      <c r="J94" s="33" t="n"/>
      <c r="K94" s="104" t="n"/>
      <c r="L94" s="1" t="n"/>
      <c r="M94" s="1" t="n"/>
      <c r="N94" s="1" t="n"/>
      <c r="O94" s="1" t="n"/>
    </row>
    <row r="95" ht="18" customHeight="1">
      <c r="A95" s="1" t="n"/>
      <c r="B95" s="39" t="n"/>
      <c r="C95" s="39" t="n"/>
      <c r="D95" s="101" t="n"/>
      <c r="E95" s="39" t="n"/>
      <c r="F95" s="39" t="n"/>
      <c r="G95" s="39" t="n"/>
      <c r="H95" s="107" t="n"/>
      <c r="I95" s="39" t="n"/>
      <c r="J95" s="39" t="n"/>
      <c r="K95" s="104" t="n"/>
      <c r="L95" s="1" t="n"/>
      <c r="M95" s="1" t="n"/>
      <c r="N95" s="1" t="n"/>
      <c r="O95" s="1" t="n"/>
    </row>
    <row r="96" ht="18" customHeight="1">
      <c r="A96" s="1" t="n"/>
      <c r="B96" s="33" t="n"/>
      <c r="C96" s="33" t="n"/>
      <c r="D96" s="102" t="n"/>
      <c r="E96" s="33" t="n"/>
      <c r="F96" s="33" t="n"/>
      <c r="G96" s="33" t="n"/>
      <c r="H96" s="109" t="n"/>
      <c r="I96" s="33" t="n"/>
      <c r="J96" s="33" t="n"/>
      <c r="K96" s="104" t="n"/>
      <c r="L96" s="1" t="n"/>
      <c r="M96" s="1" t="n"/>
      <c r="N96" s="1" t="n"/>
      <c r="O96" s="1" t="n"/>
    </row>
    <row r="97" ht="18" customHeight="1">
      <c r="A97" s="1" t="n"/>
      <c r="B97" s="39" t="n"/>
      <c r="C97" s="39" t="n"/>
      <c r="D97" s="101" t="n"/>
      <c r="E97" s="39" t="n"/>
      <c r="F97" s="39" t="n"/>
      <c r="G97" s="39" t="n"/>
      <c r="H97" s="107" t="n"/>
      <c r="I97" s="39" t="n"/>
      <c r="J97" s="39" t="n"/>
      <c r="K97" s="104" t="n"/>
      <c r="L97" s="1" t="n"/>
      <c r="M97" s="1" t="n"/>
      <c r="N97" s="1" t="n"/>
      <c r="O97" s="1" t="n"/>
    </row>
    <row r="98" ht="18" customHeight="1">
      <c r="A98" s="1" t="n"/>
      <c r="B98" s="33" t="n"/>
      <c r="C98" s="33" t="n"/>
      <c r="D98" s="102" t="n"/>
      <c r="E98" s="33" t="n"/>
      <c r="F98" s="33" t="n"/>
      <c r="G98" s="33" t="n"/>
      <c r="H98" s="109" t="n"/>
      <c r="I98" s="33" t="n"/>
      <c r="J98" s="33" t="n"/>
      <c r="K98" s="104" t="n"/>
      <c r="L98" s="1" t="n"/>
      <c r="M98" s="1" t="n"/>
      <c r="N98" s="1" t="n"/>
      <c r="O98" s="1" t="n"/>
    </row>
    <row r="99" ht="18" customHeight="1">
      <c r="A99" s="1" t="n"/>
      <c r="B99" s="39" t="n"/>
      <c r="C99" s="39" t="n"/>
      <c r="D99" s="101" t="n"/>
      <c r="E99" s="39" t="n"/>
      <c r="F99" s="39" t="n"/>
      <c r="G99" s="39" t="n"/>
      <c r="H99" s="107" t="n"/>
      <c r="I99" s="39" t="n"/>
      <c r="J99" s="39" t="n"/>
      <c r="K99" s="104" t="n"/>
      <c r="L99" s="1" t="n"/>
      <c r="M99" s="1" t="n"/>
      <c r="N99" s="1" t="n"/>
      <c r="O99" s="1" t="n"/>
    </row>
    <row r="100" ht="18" customHeight="1">
      <c r="A100" s="1" t="n"/>
      <c r="B100" s="33" t="n"/>
      <c r="C100" s="33" t="n"/>
      <c r="D100" s="102" t="n"/>
      <c r="E100" s="33" t="n"/>
      <c r="F100" s="33" t="n"/>
      <c r="G100" s="33" t="n"/>
      <c r="H100" s="109" t="n"/>
      <c r="I100" s="33" t="n"/>
      <c r="J100" s="33" t="n"/>
      <c r="K100" s="104" t="n"/>
      <c r="L100" s="1" t="n"/>
      <c r="M100" s="1" t="n"/>
      <c r="N100" s="1" t="n"/>
      <c r="O100" s="1" t="n"/>
    </row>
    <row r="101" ht="18" customHeight="1">
      <c r="A101" s="1" t="n"/>
      <c r="B101" s="39" t="n"/>
      <c r="C101" s="39" t="n"/>
      <c r="D101" s="101" t="n"/>
      <c r="E101" s="39" t="n"/>
      <c r="F101" s="39" t="n"/>
      <c r="G101" s="39" t="n"/>
      <c r="H101" s="107" t="n"/>
      <c r="I101" s="39" t="n"/>
      <c r="J101" s="39" t="n"/>
      <c r="K101" s="104" t="n"/>
      <c r="L101" s="1" t="n"/>
      <c r="M101" s="1" t="n"/>
      <c r="N101" s="1" t="n"/>
      <c r="O101" s="1" t="n"/>
    </row>
    <row r="102" ht="18" customHeight="1">
      <c r="A102" s="1" t="n"/>
      <c r="B102" s="33" t="n"/>
      <c r="C102" s="33" t="n"/>
      <c r="D102" s="102" t="n"/>
      <c r="E102" s="33" t="n"/>
      <c r="F102" s="33" t="n"/>
      <c r="G102" s="33" t="n"/>
      <c r="H102" s="109" t="n"/>
      <c r="I102" s="33" t="n"/>
      <c r="J102" s="33" t="n"/>
      <c r="K102" s="104" t="n"/>
      <c r="L102" s="1" t="n"/>
      <c r="M102" s="1" t="n"/>
      <c r="N102" s="1" t="n"/>
      <c r="O102" s="1" t="n"/>
    </row>
    <row r="103" ht="18" customHeight="1">
      <c r="A103" s="1" t="n"/>
      <c r="B103" s="39" t="n"/>
      <c r="C103" s="39" t="n"/>
      <c r="D103" s="101" t="n"/>
      <c r="E103" s="39" t="n"/>
      <c r="F103" s="39" t="n"/>
      <c r="G103" s="39" t="n"/>
      <c r="H103" s="107" t="n"/>
      <c r="I103" s="39" t="n"/>
      <c r="J103" s="39" t="n"/>
      <c r="K103" s="104" t="n"/>
      <c r="L103" s="1" t="n"/>
      <c r="M103" s="1" t="n"/>
      <c r="N103" s="1" t="n"/>
      <c r="O103" s="1" t="n"/>
    </row>
    <row r="104" ht="18" customHeight="1">
      <c r="A104" s="1" t="n"/>
      <c r="B104" s="33" t="n"/>
      <c r="C104" s="33" t="n"/>
      <c r="D104" s="102" t="n"/>
      <c r="E104" s="33" t="n"/>
      <c r="F104" s="33" t="n"/>
      <c r="G104" s="33" t="n"/>
      <c r="H104" s="109" t="n"/>
      <c r="I104" s="33" t="n"/>
      <c r="J104" s="33" t="n"/>
      <c r="K104" s="104" t="n"/>
      <c r="L104" s="1" t="n"/>
      <c r="M104" s="1" t="n"/>
      <c r="N104" s="1" t="n"/>
      <c r="O104" s="1" t="n"/>
    </row>
    <row r="105" ht="18" customHeight="1">
      <c r="A105" s="1" t="n"/>
      <c r="B105" s="39" t="n"/>
      <c r="C105" s="39" t="n"/>
      <c r="D105" s="101" t="n"/>
      <c r="E105" s="39" t="n"/>
      <c r="F105" s="39" t="n"/>
      <c r="G105" s="39" t="n"/>
      <c r="H105" s="107" t="n"/>
      <c r="I105" s="39" t="n"/>
      <c r="J105" s="39" t="n"/>
      <c r="K105" s="104" t="n"/>
      <c r="L105" s="1" t="n"/>
      <c r="M105" s="1" t="n"/>
      <c r="N105" s="1" t="n"/>
      <c r="O105" s="1" t="n"/>
    </row>
    <row r="106" ht="18" customHeight="1">
      <c r="A106" s="1" t="n"/>
      <c r="B106" s="33" t="n"/>
      <c r="C106" s="33" t="n"/>
      <c r="D106" s="102" t="n"/>
      <c r="E106" s="33" t="n"/>
      <c r="F106" s="33" t="n"/>
      <c r="G106" s="33" t="n"/>
      <c r="H106" s="109" t="n"/>
      <c r="I106" s="33" t="n"/>
      <c r="J106" s="33" t="n"/>
      <c r="K106" s="104" t="n"/>
      <c r="L106" s="1" t="n"/>
      <c r="M106" s="1" t="n"/>
      <c r="N106" s="1" t="n"/>
      <c r="O106" s="1" t="n"/>
    </row>
    <row r="107" ht="18" customHeight="1">
      <c r="A107" s="1" t="n"/>
      <c r="B107" s="39" t="n"/>
      <c r="C107" s="39" t="n"/>
      <c r="D107" s="101" t="n"/>
      <c r="E107" s="39" t="n"/>
      <c r="F107" s="39" t="n"/>
      <c r="G107" s="39" t="n"/>
      <c r="H107" s="107" t="n"/>
      <c r="I107" s="39" t="n"/>
      <c r="J107" s="39" t="n"/>
      <c r="K107" s="104" t="n"/>
      <c r="L107" s="1" t="n"/>
      <c r="M107" s="1" t="n"/>
      <c r="N107" s="1" t="n"/>
      <c r="O107" s="1" t="n"/>
    </row>
    <row r="108" ht="18" customHeight="1">
      <c r="A108" s="1" t="n"/>
      <c r="B108" s="33" t="n"/>
      <c r="C108" s="33" t="n"/>
      <c r="D108" s="102" t="n"/>
      <c r="E108" s="33" t="n"/>
      <c r="F108" s="33" t="n"/>
      <c r="G108" s="33" t="n"/>
      <c r="H108" s="109" t="n"/>
      <c r="I108" s="33" t="n"/>
      <c r="J108" s="33" t="n"/>
      <c r="K108" s="104" t="n"/>
      <c r="L108" s="1" t="n"/>
      <c r="M108" s="1" t="n"/>
      <c r="N108" s="1" t="n"/>
      <c r="O108" s="1" t="n"/>
    </row>
    <row r="109">
      <c r="A109" s="1" t="n"/>
      <c r="B109" s="1" t="n"/>
      <c r="C109" s="1" t="n"/>
      <c r="D109" s="104" t="n"/>
      <c r="E109" s="1" t="n"/>
      <c r="F109" s="1" t="n"/>
      <c r="G109" s="1" t="n"/>
      <c r="H109" s="111" t="n"/>
      <c r="I109" s="1" t="n"/>
      <c r="J109" s="1" t="n"/>
      <c r="K109" s="104" t="n"/>
      <c r="L109" s="1" t="n"/>
      <c r="M109" s="1" t="n"/>
      <c r="N109" s="1" t="n"/>
      <c r="O109" s="1" t="n"/>
    </row>
    <row r="110">
      <c r="A110" s="1" t="n"/>
      <c r="B110" s="1" t="n"/>
      <c r="C110" s="1" t="n"/>
      <c r="D110" s="104" t="n"/>
      <c r="E110" s="1" t="n"/>
      <c r="F110" s="1" t="n"/>
      <c r="G110" s="1" t="n"/>
      <c r="H110" s="111" t="n"/>
      <c r="I110" s="1" t="n"/>
      <c r="J110" s="1" t="n"/>
      <c r="K110" s="104" t="n"/>
      <c r="L110" s="1" t="n"/>
      <c r="M110" s="1" t="n"/>
      <c r="N110" s="1" t="n"/>
      <c r="O110" s="1" t="n"/>
    </row>
    <row r="111">
      <c r="A111" s="1" t="n"/>
      <c r="B111" s="1" t="n"/>
      <c r="C111" s="1" t="n"/>
      <c r="D111" s="104" t="n"/>
      <c r="E111" s="1" t="n"/>
      <c r="F111" s="1" t="n"/>
      <c r="G111" s="1" t="n"/>
      <c r="H111" s="111" t="n"/>
      <c r="I111" s="1" t="n"/>
      <c r="J111" s="1" t="n"/>
      <c r="K111" s="104" t="n"/>
      <c r="L111" s="1" t="n"/>
      <c r="M111" s="1" t="n"/>
      <c r="N111" s="1" t="n"/>
      <c r="O111" s="1" t="n"/>
    </row>
    <row r="112">
      <c r="A112" s="1" t="n"/>
      <c r="B112" s="1" t="n"/>
      <c r="C112" s="1" t="n"/>
      <c r="D112" s="104" t="n"/>
      <c r="E112" s="1" t="n"/>
      <c r="F112" s="1" t="n"/>
      <c r="G112" s="1" t="n"/>
      <c r="H112" s="111" t="n"/>
      <c r="I112" s="1" t="n"/>
      <c r="J112" s="1" t="n"/>
      <c r="K112" s="104" t="n"/>
      <c r="L112" s="1" t="n"/>
      <c r="M112" s="1" t="n"/>
      <c r="N112" s="1" t="n"/>
      <c r="O112" s="1" t="n"/>
    </row>
    <row r="113">
      <c r="A113" s="1" t="n"/>
      <c r="B113" s="1" t="n"/>
      <c r="C113" s="1" t="n"/>
      <c r="D113" s="104" t="n"/>
      <c r="E113" s="1" t="n"/>
      <c r="F113" s="1" t="n"/>
      <c r="G113" s="1" t="n"/>
      <c r="H113" s="111" t="n"/>
      <c r="I113" s="1" t="n"/>
      <c r="J113" s="1" t="n"/>
      <c r="K113" s="104" t="n"/>
      <c r="L113" s="1" t="n"/>
      <c r="M113" s="1" t="n"/>
      <c r="N113" s="1" t="n"/>
      <c r="O113" s="1" t="n"/>
    </row>
    <row r="114">
      <c r="A114" s="1" t="n"/>
      <c r="B114" s="1" t="n"/>
      <c r="C114" s="1" t="n"/>
      <c r="D114" s="104" t="n"/>
      <c r="E114" s="1" t="n"/>
      <c r="F114" s="1" t="n"/>
      <c r="G114" s="1" t="n"/>
      <c r="H114" s="111" t="n"/>
      <c r="I114" s="1" t="n"/>
      <c r="J114" s="1" t="n"/>
      <c r="K114" s="104" t="n"/>
      <c r="L114" s="1" t="n"/>
      <c r="M114" s="1" t="n"/>
      <c r="N114" s="1" t="n"/>
      <c r="O114" s="1" t="n"/>
    </row>
    <row r="115">
      <c r="A115" s="1" t="n"/>
      <c r="B115" s="1" t="n"/>
      <c r="C115" s="1" t="n"/>
      <c r="D115" s="104" t="n"/>
      <c r="E115" s="1" t="n"/>
      <c r="F115" s="1" t="n"/>
      <c r="G115" s="1" t="n"/>
      <c r="H115" s="111" t="n"/>
      <c r="I115" s="1" t="n"/>
      <c r="J115" s="1" t="n"/>
      <c r="K115" s="104" t="n"/>
      <c r="L115" s="1" t="n"/>
      <c r="M115" s="1" t="n"/>
      <c r="N115" s="1" t="n"/>
      <c r="O115" s="1" t="n"/>
    </row>
    <row r="116">
      <c r="A116" s="1" t="n"/>
      <c r="B116" s="1" t="n"/>
      <c r="C116" s="1" t="n"/>
      <c r="D116" s="104" t="n"/>
      <c r="E116" s="1" t="n"/>
      <c r="F116" s="1" t="n"/>
      <c r="G116" s="1" t="n"/>
      <c r="H116" s="111" t="n"/>
      <c r="I116" s="1" t="n"/>
      <c r="J116" s="1" t="n"/>
      <c r="K116" s="104" t="n"/>
      <c r="L116" s="1" t="n"/>
      <c r="M116" s="1" t="n"/>
      <c r="N116" s="1" t="n"/>
      <c r="O116" s="1" t="n"/>
    </row>
    <row r="117">
      <c r="A117" s="1" t="n"/>
      <c r="B117" s="1" t="n"/>
      <c r="C117" s="1" t="n"/>
      <c r="D117" s="104" t="n"/>
      <c r="E117" s="1" t="n"/>
      <c r="F117" s="1" t="n"/>
      <c r="G117" s="1" t="n"/>
      <c r="H117" s="111" t="n"/>
      <c r="I117" s="1" t="n"/>
      <c r="J117" s="1" t="n"/>
      <c r="K117" s="104" t="n"/>
      <c r="L117" s="1" t="n"/>
      <c r="M117" s="1" t="n"/>
      <c r="N117" s="1" t="n"/>
      <c r="O117" s="1" t="n"/>
    </row>
    <row r="118">
      <c r="A118" s="1" t="n"/>
      <c r="B118" s="1" t="n"/>
      <c r="C118" s="1" t="n"/>
      <c r="D118" s="104" t="n"/>
      <c r="E118" s="1" t="n"/>
      <c r="F118" s="1" t="n"/>
      <c r="G118" s="1" t="n"/>
      <c r="H118" s="111" t="n"/>
      <c r="I118" s="1" t="n"/>
      <c r="J118" s="1" t="n"/>
      <c r="K118" s="104" t="n"/>
      <c r="L118" s="1" t="n"/>
      <c r="M118" s="1" t="n"/>
      <c r="N118" s="1" t="n"/>
      <c r="O118" s="1" t="n"/>
    </row>
    <row r="119">
      <c r="A119" s="1" t="n"/>
      <c r="B119" s="1" t="n"/>
      <c r="C119" s="1" t="n"/>
      <c r="D119" s="104" t="n"/>
      <c r="E119" s="1" t="n"/>
      <c r="F119" s="1" t="n"/>
      <c r="G119" s="1" t="n"/>
      <c r="H119" s="111" t="n"/>
      <c r="I119" s="1" t="n"/>
      <c r="J119" s="1" t="n"/>
      <c r="K119" s="104" t="n"/>
      <c r="L119" s="1" t="n"/>
      <c r="M119" s="1" t="n"/>
      <c r="N119" s="1" t="n"/>
      <c r="O119" s="1" t="n"/>
    </row>
    <row r="120">
      <c r="D120" s="115" t="n"/>
      <c r="H120" s="116" t="n"/>
      <c r="K120" s="115" t="n"/>
    </row>
    <row r="121">
      <c r="D121" s="115" t="n"/>
      <c r="H121" s="116" t="n"/>
      <c r="K121" s="115" t="n"/>
    </row>
    <row r="122">
      <c r="D122" s="115" t="n"/>
      <c r="H122" s="116" t="n"/>
      <c r="K122" s="115" t="n"/>
    </row>
    <row r="123">
      <c r="D123" s="115" t="n"/>
      <c r="H123" s="116" t="n"/>
      <c r="K123" s="115" t="n"/>
    </row>
    <row r="124">
      <c r="D124" s="115" t="n"/>
      <c r="H124" s="116" t="n"/>
      <c r="K124" s="115" t="n"/>
    </row>
    <row r="125">
      <c r="D125" s="115" t="n"/>
      <c r="H125" s="116" t="n"/>
      <c r="K125" s="115" t="n"/>
    </row>
    <row r="126">
      <c r="D126" s="115" t="n"/>
      <c r="H126" s="116" t="n"/>
      <c r="K126" s="115" t="n"/>
    </row>
    <row r="127">
      <c r="D127" s="115" t="n"/>
      <c r="H127" s="116" t="n"/>
      <c r="K127" s="115" t="n"/>
    </row>
    <row r="128">
      <c r="D128" s="115" t="n"/>
      <c r="H128" s="116" t="n"/>
      <c r="K128" s="115" t="n"/>
    </row>
    <row r="129">
      <c r="D129" s="115" t="n"/>
      <c r="H129" s="116" t="n"/>
      <c r="K129" s="115" t="n"/>
    </row>
    <row r="130">
      <c r="D130" s="115" t="n"/>
      <c r="H130" s="116" t="n"/>
      <c r="K130" s="115" t="n"/>
    </row>
    <row r="131">
      <c r="D131" s="115" t="n"/>
      <c r="H131" s="116" t="n"/>
      <c r="K131" s="115" t="n"/>
    </row>
    <row r="132">
      <c r="D132" s="115" t="n"/>
      <c r="H132" s="116" t="n"/>
      <c r="K132" s="115" t="n"/>
    </row>
    <row r="133">
      <c r="D133" s="115" t="n"/>
      <c r="H133" s="116" t="n"/>
      <c r="K133" s="115" t="n"/>
    </row>
    <row r="134">
      <c r="D134" s="115" t="n"/>
      <c r="H134" s="116" t="n"/>
      <c r="K134" s="115" t="n"/>
    </row>
    <row r="135">
      <c r="D135" s="115" t="n"/>
      <c r="H135" s="116" t="n"/>
      <c r="K135" s="115" t="n"/>
    </row>
    <row r="136">
      <c r="D136" s="115" t="n"/>
      <c r="H136" s="116" t="n"/>
      <c r="K136" s="115" t="n"/>
    </row>
    <row r="137">
      <c r="D137" s="115" t="n"/>
      <c r="H137" s="116" t="n"/>
      <c r="K137" s="115" t="n"/>
    </row>
    <row r="138">
      <c r="D138" s="115" t="n"/>
      <c r="H138" s="116" t="n"/>
      <c r="K138" s="115" t="n"/>
    </row>
    <row r="139">
      <c r="D139" s="115" t="n"/>
      <c r="H139" s="116" t="n"/>
      <c r="K139" s="115" t="n"/>
    </row>
    <row r="140">
      <c r="D140" s="115" t="n"/>
      <c r="H140" s="116" t="n"/>
      <c r="K140" s="115" t="n"/>
    </row>
    <row r="141">
      <c r="D141" s="115" t="n"/>
      <c r="H141" s="116" t="n"/>
      <c r="K141" s="115" t="n"/>
    </row>
    <row r="142">
      <c r="D142" s="115" t="n"/>
      <c r="H142" s="116" t="n"/>
      <c r="K142" s="115" t="n"/>
    </row>
    <row r="143">
      <c r="D143" s="115" t="n"/>
      <c r="H143" s="116" t="n"/>
      <c r="K143" s="115" t="n"/>
    </row>
    <row r="144">
      <c r="D144" s="115" t="n"/>
      <c r="H144" s="116" t="n"/>
      <c r="K144" s="115" t="n"/>
    </row>
    <row r="145">
      <c r="D145" s="115" t="n"/>
      <c r="H145" s="116" t="n"/>
      <c r="K145" s="115" t="n"/>
    </row>
    <row r="146">
      <c r="D146" s="115" t="n"/>
      <c r="H146" s="116" t="n"/>
      <c r="K146" s="115" t="n"/>
    </row>
    <row r="147">
      <c r="D147" s="115" t="n"/>
      <c r="H147" s="116" t="n"/>
      <c r="K147" s="115" t="n"/>
    </row>
    <row r="148">
      <c r="D148" s="115" t="n"/>
      <c r="H148" s="116" t="n"/>
      <c r="K148" s="115" t="n"/>
    </row>
    <row r="149">
      <c r="D149" s="115" t="n"/>
      <c r="H149" s="116" t="n"/>
      <c r="K149" s="115" t="n"/>
    </row>
    <row r="150">
      <c r="D150" s="115" t="n"/>
      <c r="H150" s="116" t="n"/>
      <c r="K150" s="115" t="n"/>
    </row>
    <row r="151">
      <c r="D151" s="115" t="n"/>
      <c r="H151" s="116" t="n"/>
      <c r="K151" s="115" t="n"/>
    </row>
    <row r="152">
      <c r="D152" s="115" t="n"/>
      <c r="H152" s="116" t="n"/>
      <c r="K152" s="115" t="n"/>
    </row>
    <row r="153">
      <c r="D153" s="115" t="n"/>
      <c r="H153" s="116" t="n"/>
      <c r="K153" s="115" t="n"/>
    </row>
    <row r="154">
      <c r="D154" s="115" t="n"/>
      <c r="H154" s="116" t="n"/>
      <c r="K154" s="115" t="n"/>
    </row>
    <row r="155">
      <c r="D155" s="115" t="n"/>
      <c r="H155" s="116" t="n"/>
      <c r="K155" s="115" t="n"/>
    </row>
    <row r="156">
      <c r="D156" s="115" t="n"/>
      <c r="H156" s="116" t="n"/>
      <c r="K156" s="115" t="n"/>
    </row>
    <row r="157">
      <c r="D157" s="115" t="n"/>
      <c r="H157" s="116" t="n"/>
      <c r="K157" s="115" t="n"/>
    </row>
    <row r="158">
      <c r="D158" s="115" t="n"/>
      <c r="H158" s="116" t="n"/>
      <c r="K158" s="115" t="n"/>
    </row>
    <row r="159">
      <c r="D159" s="115" t="n"/>
      <c r="H159" s="116" t="n"/>
      <c r="K159" s="115" t="n"/>
    </row>
    <row r="160">
      <c r="D160" s="115" t="n"/>
      <c r="H160" s="116" t="n"/>
      <c r="K160" s="115" t="n"/>
    </row>
    <row r="161">
      <c r="D161" s="115" t="n"/>
      <c r="H161" s="116" t="n"/>
      <c r="K161" s="115" t="n"/>
    </row>
    <row r="162">
      <c r="D162" s="115" t="n"/>
      <c r="H162" s="116" t="n"/>
      <c r="K162" s="115" t="n"/>
    </row>
    <row r="163">
      <c r="D163" s="115" t="n"/>
      <c r="H163" s="116" t="n"/>
      <c r="K163" s="115" t="n"/>
    </row>
    <row r="164">
      <c r="D164" s="115" t="n"/>
      <c r="H164" s="116" t="n"/>
      <c r="K164" s="115" t="n"/>
    </row>
    <row r="165">
      <c r="D165" s="115" t="n"/>
      <c r="H165" s="116" t="n"/>
      <c r="K165" s="115" t="n"/>
    </row>
    <row r="166">
      <c r="D166" s="115" t="n"/>
      <c r="H166" s="116" t="n"/>
      <c r="K166" s="115" t="n"/>
    </row>
    <row r="167">
      <c r="D167" s="115" t="n"/>
      <c r="H167" s="116" t="n"/>
      <c r="K167" s="115" t="n"/>
    </row>
    <row r="168">
      <c r="D168" s="115" t="n"/>
      <c r="H168" s="116" t="n"/>
      <c r="K168" s="115" t="n"/>
    </row>
    <row r="169">
      <c r="D169" s="115" t="n"/>
      <c r="H169" s="116" t="n"/>
      <c r="K169" s="115" t="n"/>
    </row>
    <row r="170">
      <c r="D170" s="115" t="n"/>
      <c r="H170" s="116" t="n"/>
      <c r="K170" s="115" t="n"/>
    </row>
    <row r="171">
      <c r="D171" s="115" t="n"/>
      <c r="H171" s="116" t="n"/>
      <c r="K171" s="115" t="n"/>
    </row>
    <row r="172">
      <c r="D172" s="115" t="n"/>
      <c r="H172" s="116" t="n"/>
      <c r="K172" s="115" t="n"/>
    </row>
    <row r="173">
      <c r="D173" s="115" t="n"/>
      <c r="H173" s="116" t="n"/>
      <c r="K173" s="115" t="n"/>
    </row>
    <row r="174">
      <c r="D174" s="115" t="n"/>
      <c r="H174" s="116" t="n"/>
      <c r="K174" s="115" t="n"/>
    </row>
    <row r="175">
      <c r="D175" s="115" t="n"/>
      <c r="H175" s="116" t="n"/>
      <c r="K175" s="115" t="n"/>
    </row>
    <row r="176">
      <c r="D176" s="115" t="n"/>
      <c r="H176" s="116" t="n"/>
      <c r="K176" s="115" t="n"/>
    </row>
    <row r="177">
      <c r="D177" s="115" t="n"/>
      <c r="H177" s="116" t="n"/>
      <c r="K177" s="115" t="n"/>
    </row>
    <row r="178">
      <c r="D178" s="115" t="n"/>
      <c r="H178" s="116" t="n"/>
      <c r="K178" s="115" t="n"/>
    </row>
    <row r="179">
      <c r="D179" s="115" t="n"/>
      <c r="H179" s="116" t="n"/>
      <c r="K179" s="115" t="n"/>
    </row>
    <row r="180">
      <c r="D180" s="115" t="n"/>
      <c r="H180" s="116" t="n"/>
      <c r="K180" s="115" t="n"/>
    </row>
    <row r="181">
      <c r="D181" s="115" t="n"/>
      <c r="H181" s="116" t="n"/>
      <c r="K181" s="115" t="n"/>
    </row>
    <row r="182">
      <c r="D182" s="115" t="n"/>
      <c r="H182" s="116" t="n"/>
      <c r="K182" s="115" t="n"/>
    </row>
    <row r="183">
      <c r="D183" s="115" t="n"/>
      <c r="H183" s="116" t="n"/>
      <c r="K183" s="115" t="n"/>
    </row>
    <row r="184">
      <c r="D184" s="115" t="n"/>
      <c r="H184" s="116" t="n"/>
      <c r="K184" s="115" t="n"/>
    </row>
    <row r="185">
      <c r="D185" s="115" t="n"/>
      <c r="H185" s="116" t="n"/>
      <c r="K185" s="115" t="n"/>
    </row>
    <row r="186">
      <c r="D186" s="115" t="n"/>
      <c r="H186" s="116" t="n"/>
      <c r="K186" s="115" t="n"/>
    </row>
    <row r="187">
      <c r="D187" s="115" t="n"/>
      <c r="H187" s="116" t="n"/>
      <c r="K187" s="115" t="n"/>
    </row>
    <row r="188">
      <c r="D188" s="115" t="n"/>
      <c r="H188" s="116" t="n"/>
      <c r="K188" s="115" t="n"/>
    </row>
    <row r="189">
      <c r="D189" s="115" t="n"/>
      <c r="H189" s="116" t="n"/>
      <c r="K189" s="115" t="n"/>
    </row>
    <row r="190">
      <c r="D190" s="115" t="n"/>
      <c r="H190" s="116" t="n"/>
      <c r="K190" s="115" t="n"/>
    </row>
    <row r="191">
      <c r="D191" s="115" t="n"/>
      <c r="H191" s="116" t="n"/>
      <c r="K191" s="115" t="n"/>
    </row>
    <row r="192">
      <c r="D192" s="115" t="n"/>
      <c r="H192" s="116" t="n"/>
      <c r="K192" s="115" t="n"/>
    </row>
    <row r="193">
      <c r="D193" s="115" t="n"/>
      <c r="H193" s="116" t="n"/>
      <c r="K193" s="115" t="n"/>
    </row>
    <row r="194">
      <c r="D194" s="115" t="n"/>
      <c r="H194" s="116" t="n"/>
      <c r="K194" s="115" t="n"/>
    </row>
    <row r="195">
      <c r="D195" s="115" t="n"/>
      <c r="H195" s="116" t="n"/>
      <c r="K195" s="115" t="n"/>
    </row>
    <row r="196">
      <c r="D196" s="115" t="n"/>
      <c r="H196" s="116" t="n"/>
      <c r="K196" s="115" t="n"/>
    </row>
    <row r="197">
      <c r="D197" s="115" t="n"/>
      <c r="H197" s="116" t="n"/>
      <c r="K197" s="115" t="n"/>
    </row>
    <row r="198">
      <c r="D198" s="115" t="n"/>
      <c r="H198" s="116" t="n"/>
      <c r="K198" s="115" t="n"/>
    </row>
    <row r="199">
      <c r="D199" s="115" t="n"/>
      <c r="H199" s="116" t="n"/>
      <c r="K199" s="115" t="n"/>
    </row>
    <row r="200">
      <c r="D200" s="115" t="n"/>
      <c r="H200" s="116" t="n"/>
      <c r="K200" s="115" t="n"/>
    </row>
    <row r="201">
      <c r="D201" s="115" t="n"/>
      <c r="H201" s="116" t="n"/>
      <c r="K201" s="115" t="n"/>
    </row>
    <row r="202">
      <c r="D202" s="115" t="n"/>
      <c r="H202" s="116" t="n"/>
      <c r="K202" s="115" t="n"/>
    </row>
    <row r="203">
      <c r="D203" s="115" t="n"/>
      <c r="H203" s="116" t="n"/>
      <c r="K203" s="115" t="n"/>
    </row>
    <row r="204">
      <c r="D204" s="115" t="n"/>
      <c r="H204" s="116" t="n"/>
      <c r="K204" s="115" t="n"/>
    </row>
    <row r="205">
      <c r="D205" s="115" t="n"/>
      <c r="H205" s="116" t="n"/>
      <c r="K205" s="115" t="n"/>
    </row>
    <row r="206">
      <c r="D206" s="115" t="n"/>
      <c r="H206" s="116" t="n"/>
      <c r="K206" s="115" t="n"/>
    </row>
    <row r="207">
      <c r="D207" s="115" t="n"/>
      <c r="H207" s="116" t="n"/>
      <c r="K207" s="115" t="n"/>
    </row>
    <row r="208">
      <c r="D208" s="115" t="n"/>
      <c r="H208" s="116" t="n"/>
      <c r="K208" s="115" t="n"/>
    </row>
  </sheetData>
  <mergeCells count="13">
    <mergeCell ref="B2:N2"/>
    <mergeCell ref="B5:D5"/>
    <mergeCell ref="K4:M4"/>
    <mergeCell ref="E5:G5"/>
    <mergeCell ref="H5:J5"/>
    <mergeCell ref="K5:M5"/>
    <mergeCell ref="B4:D4"/>
    <mergeCell ref="H4:J4"/>
    <mergeCell ref="K6:M6"/>
    <mergeCell ref="E4:G4"/>
    <mergeCell ref="B6:D6"/>
    <mergeCell ref="E6:G6"/>
    <mergeCell ref="H6:J6"/>
  </mergeCells>
  <conditionalFormatting sqref="F9:F208">
    <cfRule type="containsText" priority="1" operator="containsText" dxfId="0" text="Confirmado">
      <formula>NOT(ISERROR(SEARCH("Confirmado",F9)))</formula>
    </cfRule>
    <cfRule type="containsText" priority="2" operator="containsText" dxfId="2" text="Perdido">
      <formula>NOT(ISERROR(SEARCH("Perdido",F9)))</formula>
    </cfRule>
  </conditionalFormatting>
  <conditionalFormatting sqref="G9:G208">
    <cfRule type="containsText" priority="3" operator="containsText" dxfId="7" text="Quente">
      <formula>NOT(ISERROR(SEARCH("Quente",G9)))</formula>
    </cfRule>
    <cfRule type="containsText" priority="4" operator="containsText" dxfId="4" text="Morno">
      <formula>NOT(ISERROR(SEARCH("Morno",G9)))</formula>
    </cfRule>
    <cfRule type="containsText" priority="5" operator="containsText" dxfId="8" text="Frio">
      <formula>NOT(ISERROR(SEARCH("Frio",G9)))</formula>
    </cfRule>
  </conditionalFormatting>
  <dataValidations count="3">
    <dataValidation sqref="C9:C208" showDropDown="0" showInputMessage="0" showErrorMessage="0" allowBlank="0" type="list">
      <formula1>"Instagram,Facebook,WhatsApp,Google,Indicação,TikTok,Evento,Site,Outro"</formula1>
    </dataValidation>
    <dataValidation sqref="F9:F208" showDropDown="0" showInputMessage="0" showErrorMessage="0" allowBlank="0" type="list">
      <formula1>"🆕 Novo Lead,📞 Primeiro Contato,💬 Orçamento Enviado,🤝 Negociando,✅ Confirmado,❌ Perdido,🔁 Reagendar"</formula1>
    </dataValidation>
    <dataValidation sqref="G9:G208" showDropDown="0" showInputMessage="0" showErrorMessage="0" allowBlank="0" type="list">
      <formula1>"🔥 Quente,🌡️ Morno,❄️ Frio"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7AE60"/>
    <outlinePr summaryBelow="1" summaryRight="1"/>
    <pageSetUpPr/>
  </sheetPr>
  <dimension ref="A1:Q9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5" customHeight="1">
      <c r="A2" s="1" t="n"/>
      <c r="B2" s="37" t="inlineStr">
        <is>
          <t>📈  METAS E PREVISÃO DE FATURAMENTO — CENTRAL TATTOO</t>
        </is>
      </c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1" t="inlineStr">
        <is>
          <t>🎯  QUANTO PRECISO TATUAR POR MÊS?</t>
        </is>
      </c>
      <c r="K4" s="1" t="n"/>
      <c r="L4" s="1" t="n"/>
      <c r="M4" s="1" t="n"/>
      <c r="N4" s="1" t="n"/>
      <c r="O4" s="1" t="n"/>
      <c r="P4" s="1" t="n"/>
      <c r="Q4" s="1" t="n"/>
    </row>
    <row r="5" ht="22" customHeight="1">
      <c r="A5" s="1" t="n"/>
      <c r="B5" s="57" t="inlineStr">
        <is>
          <t>Meta de faturamento mensal (R$)</t>
        </is>
      </c>
      <c r="H5" s="89" t="n">
        <v>5000</v>
      </c>
      <c r="K5" s="1" t="n"/>
      <c r="L5" s="1" t="n"/>
      <c r="M5" s="1" t="n"/>
      <c r="N5" s="1" t="n"/>
      <c r="O5" s="1" t="n"/>
      <c r="P5" s="1" t="n"/>
      <c r="Q5" s="1" t="n"/>
    </row>
    <row r="6" ht="22" customHeight="1">
      <c r="A6" s="1" t="n"/>
      <c r="B6" s="57" t="inlineStr">
        <is>
          <t>Horas disponíveis por dia</t>
        </is>
      </c>
      <c r="H6" s="58" t="n">
        <v>8</v>
      </c>
      <c r="K6" s="1" t="n"/>
      <c r="L6" s="1" t="n"/>
      <c r="M6" s="1" t="n"/>
      <c r="N6" s="1" t="n"/>
      <c r="O6" s="1" t="n"/>
      <c r="P6" s="1" t="n"/>
      <c r="Q6" s="1" t="n"/>
    </row>
    <row r="7" ht="22" customHeight="1">
      <c r="A7" s="1" t="n"/>
      <c r="B7" s="57" t="inlineStr">
        <is>
          <t>Dias trabalhados por mês</t>
        </is>
      </c>
      <c r="H7" s="58" t="n">
        <v>22</v>
      </c>
      <c r="K7" s="1" t="n"/>
      <c r="L7" s="1" t="n"/>
      <c r="M7" s="1" t="n"/>
      <c r="N7" s="1" t="n"/>
      <c r="O7" s="1" t="n"/>
      <c r="P7" s="1" t="n"/>
      <c r="Q7" s="1" t="n"/>
    </row>
    <row r="8" ht="22" customHeight="1">
      <c r="A8" s="1" t="n"/>
      <c r="B8" s="57" t="inlineStr">
        <is>
          <t>Ticket médio por sessão (R$)</t>
        </is>
      </c>
      <c r="H8" s="89" t="n">
        <v>600</v>
      </c>
      <c r="K8" s="1" t="n"/>
      <c r="L8" s="1" t="n"/>
      <c r="M8" s="1" t="n"/>
      <c r="N8" s="1" t="n"/>
      <c r="O8" s="1" t="n"/>
      <c r="P8" s="1" t="n"/>
      <c r="Q8" s="1" t="n"/>
    </row>
    <row r="9" ht="22" customHeight="1">
      <c r="A9" s="1" t="n"/>
      <c r="B9" s="57" t="inlineStr">
        <is>
          <t>Taxa de conversão de leads (%)</t>
        </is>
      </c>
      <c r="H9" s="90" t="n">
        <v>30</v>
      </c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0" customHeight="1">
      <c r="A11" s="1" t="n"/>
      <c r="B11" s="31" t="inlineStr">
        <is>
          <t>📊  RESULTADOS</t>
        </is>
      </c>
      <c r="K11" s="1" t="n"/>
      <c r="L11" s="1" t="n"/>
      <c r="M11" s="1" t="n"/>
      <c r="N11" s="1" t="n"/>
      <c r="O11" s="1" t="n"/>
      <c r="P11" s="1" t="n"/>
      <c r="Q11" s="1" t="n"/>
    </row>
    <row r="12" ht="24" customHeight="1">
      <c r="A12" s="1" t="n"/>
      <c r="B12" s="62" t="inlineStr">
        <is>
          <t>Sessões necessárias/mês</t>
        </is>
      </c>
      <c r="H12" s="91">
        <f>CEILING(B5/B8,1)</f>
        <v/>
      </c>
      <c r="K12" s="1" t="n"/>
      <c r="L12" s="1" t="n"/>
      <c r="M12" s="1" t="n"/>
      <c r="N12" s="1" t="n"/>
      <c r="O12" s="1" t="n"/>
      <c r="P12" s="1" t="n"/>
      <c r="Q12" s="1" t="n"/>
    </row>
    <row r="13" ht="24" customHeight="1">
      <c r="A13" s="1" t="n"/>
      <c r="B13" s="62" t="inlineStr">
        <is>
          <t>Horas de trabalho/dia necessárias</t>
        </is>
      </c>
      <c r="H13" s="92">
        <f>IFERROR((B9*B8)/(B8*B6),0)</f>
        <v/>
      </c>
      <c r="K13" s="1" t="n"/>
      <c r="L13" s="1" t="n"/>
      <c r="M13" s="1" t="n"/>
      <c r="N13" s="1" t="n"/>
      <c r="O13" s="1" t="n"/>
      <c r="P13" s="1" t="n"/>
      <c r="Q13" s="1" t="n"/>
    </row>
    <row r="14" ht="24" customHeight="1">
      <c r="A14" s="1" t="n"/>
      <c r="B14" s="62" t="inlineStr">
        <is>
          <t>Leads necessários p/ atingir meta</t>
        </is>
      </c>
      <c r="H14" s="93">
        <f>CEILING(B9/B7,1)</f>
        <v/>
      </c>
      <c r="K14" s="1" t="n"/>
      <c r="L14" s="1" t="n"/>
      <c r="M14" s="1" t="n"/>
      <c r="N14" s="1" t="n"/>
      <c r="O14" s="1" t="n"/>
      <c r="P14" s="1" t="n"/>
      <c r="Q14" s="1" t="n"/>
    </row>
    <row r="15" ht="24" customHeight="1">
      <c r="A15" s="1" t="n"/>
      <c r="B15" s="62" t="inlineStr">
        <is>
          <t>Faturamento possível (cheio)</t>
        </is>
      </c>
      <c r="H15" s="94">
        <f>B6*B7*B8</f>
        <v/>
      </c>
      <c r="K15" s="1" t="n"/>
      <c r="L15" s="1" t="n"/>
      <c r="M15" s="1" t="n"/>
      <c r="N15" s="1" t="n"/>
      <c r="O15" s="1" t="n"/>
      <c r="P15" s="1" t="n"/>
      <c r="Q15" s="1" t="n"/>
    </row>
    <row r="16" ht="24" customHeight="1">
      <c r="A16" s="1" t="n"/>
      <c r="B16" s="62" t="inlineStr">
        <is>
          <t>Folga de capacidade</t>
        </is>
      </c>
      <c r="H16" s="95">
        <f>B15-B5</f>
        <v/>
      </c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0" customHeight="1">
      <c r="A19" s="1" t="n"/>
      <c r="B19" s="31" t="inlineStr">
        <is>
          <t>📅  PROJEÇÃO 12 MESES</t>
        </is>
      </c>
      <c r="Q19" s="1" t="n"/>
    </row>
    <row r="20">
      <c r="A20" s="1" t="n"/>
      <c r="B20" s="38" t="inlineStr">
        <is>
          <t>MÉTRICA</t>
        </is>
      </c>
      <c r="C20" s="38" t="inlineStr">
        <is>
          <t>Jan</t>
        </is>
      </c>
      <c r="D20" s="38" t="inlineStr">
        <is>
          <t>Fev</t>
        </is>
      </c>
      <c r="E20" s="38" t="inlineStr">
        <is>
          <t>Mar</t>
        </is>
      </c>
      <c r="F20" s="38" t="inlineStr">
        <is>
          <t>Abr</t>
        </is>
      </c>
      <c r="G20" s="38" t="inlineStr">
        <is>
          <t>Mai</t>
        </is>
      </c>
      <c r="H20" s="38" t="inlineStr">
        <is>
          <t>Jun</t>
        </is>
      </c>
      <c r="I20" s="38" t="inlineStr">
        <is>
          <t>Jul</t>
        </is>
      </c>
      <c r="J20" s="38" t="inlineStr">
        <is>
          <t>Ago</t>
        </is>
      </c>
      <c r="K20" s="38" t="inlineStr">
        <is>
          <t>Set</t>
        </is>
      </c>
      <c r="L20" s="38" t="inlineStr">
        <is>
          <t>Out</t>
        </is>
      </c>
      <c r="M20" s="38" t="inlineStr">
        <is>
          <t>Nov</t>
        </is>
      </c>
      <c r="N20" s="38" t="inlineStr">
        <is>
          <t>Dez</t>
        </is>
      </c>
      <c r="O20" s="1" t="n"/>
      <c r="P20" s="1" t="n"/>
      <c r="Q20" s="1" t="n"/>
    </row>
    <row r="21" ht="20" customHeight="1">
      <c r="A21" s="1" t="n"/>
      <c r="B21" s="62" t="inlineStr">
        <is>
          <t>Meta (R$)</t>
        </is>
      </c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1" t="n"/>
      <c r="P21" s="1" t="n"/>
      <c r="Q21" s="1" t="n"/>
    </row>
    <row r="22" ht="20" customHeight="1">
      <c r="A22" s="1" t="n"/>
      <c r="B22" s="62" t="inlineStr">
        <is>
          <t>Realizado (R$)</t>
        </is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1" t="n"/>
      <c r="P22" s="1" t="n"/>
      <c r="Q22" s="1" t="n"/>
    </row>
    <row r="23" ht="20" customHeight="1">
      <c r="A23" s="1" t="n"/>
      <c r="B23" s="62" t="inlineStr">
        <is>
          <t>Atingido (%)</t>
        </is>
      </c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1" t="n"/>
      <c r="P23" s="1" t="n"/>
      <c r="Q23" s="1" t="n"/>
    </row>
    <row r="24" ht="20" customHeight="1">
      <c r="A24" s="1" t="n"/>
      <c r="B24" s="62" t="inlineStr">
        <is>
          <t>Sessões Planej.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1" t="n"/>
      <c r="P24" s="1" t="n"/>
      <c r="Q24" s="1" t="n"/>
    </row>
    <row r="25" ht="20" customHeight="1">
      <c r="A25" s="1" t="n"/>
      <c r="B25" s="62" t="inlineStr">
        <is>
          <t>Sessões Reais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3" ht="28" customHeight="1">
      <c r="B83" s="122" t="inlineStr">
        <is>
          <t>📅 ACOMPANHAMENTO MENSAL 2026</t>
        </is>
      </c>
    </row>
    <row r="84" ht="22" customHeight="1">
      <c r="B84" s="118" t="inlineStr">
        <is>
          <t>INDICADOR</t>
        </is>
      </c>
      <c r="C84" s="118" t="inlineStr">
        <is>
          <t>JAN</t>
        </is>
      </c>
      <c r="D84" s="118" t="inlineStr">
        <is>
          <t>FEV</t>
        </is>
      </c>
      <c r="E84" s="118" t="inlineStr">
        <is>
          <t>MAR</t>
        </is>
      </c>
      <c r="F84" s="118" t="inlineStr">
        <is>
          <t>ABR</t>
        </is>
      </c>
      <c r="G84" s="118" t="inlineStr">
        <is>
          <t>MAI</t>
        </is>
      </c>
      <c r="H84" s="118" t="inlineStr">
        <is>
          <t>JUN</t>
        </is>
      </c>
      <c r="I84" s="118" t="inlineStr">
        <is>
          <t>JUL</t>
        </is>
      </c>
      <c r="J84" s="118" t="inlineStr">
        <is>
          <t>AGO</t>
        </is>
      </c>
      <c r="K84" s="118" t="inlineStr">
        <is>
          <t>SET</t>
        </is>
      </c>
      <c r="L84" s="118" t="inlineStr">
        <is>
          <t>OUT</t>
        </is>
      </c>
      <c r="M84" s="118" t="inlineStr">
        <is>
          <t>NOV</t>
        </is>
      </c>
      <c r="N84" s="118" t="inlineStr">
        <is>
          <t>DEZ</t>
        </is>
      </c>
      <c r="O84" s="118" t="inlineStr">
        <is>
          <t>TOTAL/MÉD</t>
        </is>
      </c>
    </row>
    <row r="85" ht="20" customHeight="1">
      <c r="B85" s="125" t="inlineStr">
        <is>
          <t>Meta Fat. (R$)</t>
        </is>
      </c>
      <c r="C85" s="141" t="n">
        <v>8000</v>
      </c>
      <c r="D85" s="141" t="n">
        <v>8000</v>
      </c>
      <c r="E85" s="141" t="n">
        <v>8000</v>
      </c>
      <c r="F85" s="141" t="n">
        <v>8000</v>
      </c>
      <c r="G85" s="141" t="n">
        <v>8000</v>
      </c>
      <c r="H85" s="141" t="n">
        <v>8000</v>
      </c>
      <c r="I85" s="141" t="n">
        <v>8000</v>
      </c>
      <c r="J85" s="141" t="n">
        <v>8000</v>
      </c>
      <c r="K85" s="141" t="n">
        <v>8000</v>
      </c>
      <c r="L85" s="141" t="n">
        <v>8000</v>
      </c>
      <c r="M85" s="141" t="n">
        <v>8000</v>
      </c>
      <c r="N85" s="141" t="n">
        <v>8000</v>
      </c>
      <c r="O85" s="142">
        <f>SUM(C85:N85)</f>
        <v/>
      </c>
    </row>
    <row r="86" ht="20" customHeight="1">
      <c r="B86" s="125" t="inlineStr">
        <is>
          <t>Real Fat. (R$)</t>
        </is>
      </c>
      <c r="C86" s="141" t="n">
        <v>0</v>
      </c>
      <c r="D86" s="141" t="n">
        <v>0</v>
      </c>
      <c r="E86" s="141" t="n">
        <v>0</v>
      </c>
      <c r="F86" s="141" t="n">
        <v>0</v>
      </c>
      <c r="G86" s="141" t="n">
        <v>0</v>
      </c>
      <c r="H86" s="141" t="n">
        <v>0</v>
      </c>
      <c r="I86" s="141" t="n">
        <v>0</v>
      </c>
      <c r="J86" s="141" t="n">
        <v>0</v>
      </c>
      <c r="K86" s="141" t="n">
        <v>0</v>
      </c>
      <c r="L86" s="141" t="n">
        <v>0</v>
      </c>
      <c r="M86" s="141" t="n">
        <v>0</v>
      </c>
      <c r="N86" s="141" t="n">
        <v>0</v>
      </c>
      <c r="O86" s="142">
        <f>SUM(C86:N86)</f>
        <v/>
      </c>
    </row>
    <row r="87" ht="20" customHeight="1">
      <c r="B87" s="131" t="inlineStr">
        <is>
          <t>% Ating.</t>
        </is>
      </c>
      <c r="C87" s="143">
        <f>IF(C86&gt;0,C86/C85,0)</f>
        <v/>
      </c>
      <c r="D87" s="143">
        <f>IF(D86&gt;0,D86/D85,0)</f>
        <v/>
      </c>
      <c r="E87" s="143">
        <f>IF(E86&gt;0,E86/E85,0)</f>
        <v/>
      </c>
      <c r="F87" s="143">
        <f>IF(F86&gt;0,F86/F85,0)</f>
        <v/>
      </c>
      <c r="G87" s="143">
        <f>IF(G86&gt;0,G86/G85,0)</f>
        <v/>
      </c>
      <c r="H87" s="143">
        <f>IF(H86&gt;0,H86/H85,0)</f>
        <v/>
      </c>
      <c r="I87" s="143">
        <f>IF(I86&gt;0,I86/I85,0)</f>
        <v/>
      </c>
      <c r="J87" s="143">
        <f>IF(J86&gt;0,J86/J85,0)</f>
        <v/>
      </c>
      <c r="K87" s="143">
        <f>IF(K86&gt;0,K86/K85,0)</f>
        <v/>
      </c>
      <c r="L87" s="143">
        <f>IF(L86&gt;0,L86/L85,0)</f>
        <v/>
      </c>
      <c r="M87" s="143">
        <f>IF(M86&gt;0,M86/M85,0)</f>
        <v/>
      </c>
      <c r="N87" s="143">
        <f>IF(N86&gt;0,N86/N85,0)</f>
        <v/>
      </c>
      <c r="O87" s="144">
        <f>AVERAGE(C87:N87)</f>
        <v/>
      </c>
    </row>
    <row r="88" ht="20" customHeight="1">
      <c r="B88" s="125" t="inlineStr">
        <is>
          <t>Meta Sessões</t>
        </is>
      </c>
      <c r="C88" s="145" t="n">
        <v>20</v>
      </c>
      <c r="D88" s="145" t="n">
        <v>20</v>
      </c>
      <c r="E88" s="145" t="n">
        <v>20</v>
      </c>
      <c r="F88" s="145" t="n">
        <v>20</v>
      </c>
      <c r="G88" s="145" t="n">
        <v>20</v>
      </c>
      <c r="H88" s="145" t="n">
        <v>20</v>
      </c>
      <c r="I88" s="145" t="n">
        <v>20</v>
      </c>
      <c r="J88" s="145" t="n">
        <v>20</v>
      </c>
      <c r="K88" s="145" t="n">
        <v>20</v>
      </c>
      <c r="L88" s="145" t="n">
        <v>20</v>
      </c>
      <c r="M88" s="145" t="n">
        <v>20</v>
      </c>
      <c r="N88" s="145" t="n">
        <v>20</v>
      </c>
      <c r="O88" s="146">
        <f>SUM(C88:N88)</f>
        <v/>
      </c>
    </row>
    <row r="89" ht="20" customHeight="1">
      <c r="B89" s="125" t="inlineStr">
        <is>
          <t>Real Sessões</t>
        </is>
      </c>
      <c r="C89" s="145" t="n">
        <v>0</v>
      </c>
      <c r="D89" s="145" t="n">
        <v>0</v>
      </c>
      <c r="E89" s="145" t="n">
        <v>0</v>
      </c>
      <c r="F89" s="145" t="n">
        <v>0</v>
      </c>
      <c r="G89" s="145" t="n">
        <v>0</v>
      </c>
      <c r="H89" s="145" t="n">
        <v>0</v>
      </c>
      <c r="I89" s="145" t="n">
        <v>0</v>
      </c>
      <c r="J89" s="145" t="n">
        <v>0</v>
      </c>
      <c r="K89" s="145" t="n">
        <v>0</v>
      </c>
      <c r="L89" s="145" t="n">
        <v>0</v>
      </c>
      <c r="M89" s="145" t="n">
        <v>0</v>
      </c>
      <c r="N89" s="145" t="n">
        <v>0</v>
      </c>
      <c r="O89" s="146">
        <f>SUM(C89:N89)</f>
        <v/>
      </c>
    </row>
    <row r="90" ht="20" customHeight="1">
      <c r="B90" s="131" t="inlineStr">
        <is>
          <t>Ticket Médio Real</t>
        </is>
      </c>
      <c r="C90" s="147">
        <f>IF(C89&gt;0,C86/C89,"")</f>
        <v/>
      </c>
      <c r="D90" s="147">
        <f>IF(D89&gt;0,D86/D89,"")</f>
        <v/>
      </c>
      <c r="E90" s="147">
        <f>IF(E89&gt;0,E86/E89,"")</f>
        <v/>
      </c>
      <c r="F90" s="147">
        <f>IF(F89&gt;0,F86/F89,"")</f>
        <v/>
      </c>
      <c r="G90" s="147">
        <f>IF(G89&gt;0,G86/G89,"")</f>
        <v/>
      </c>
      <c r="H90" s="147">
        <f>IF(H89&gt;0,H86/H89,"")</f>
        <v/>
      </c>
      <c r="I90" s="147">
        <f>IF(I89&gt;0,I86/I89,"")</f>
        <v/>
      </c>
      <c r="J90" s="147">
        <f>IF(J89&gt;0,J86/J89,"")</f>
        <v/>
      </c>
      <c r="K90" s="147">
        <f>IF(K89&gt;0,K86/K89,"")</f>
        <v/>
      </c>
      <c r="L90" s="147">
        <f>IF(L89&gt;0,L86/L89,"")</f>
        <v/>
      </c>
      <c r="M90" s="147">
        <f>IF(M89&gt;0,M86/M89,"")</f>
        <v/>
      </c>
      <c r="N90" s="147">
        <f>IF(N89&gt;0,N86/N89,"")</f>
        <v/>
      </c>
      <c r="O90" s="148">
        <f>SUM(C90:N90)</f>
        <v/>
      </c>
    </row>
  </sheetData>
  <mergeCells count="25">
    <mergeCell ref="B11:J11"/>
    <mergeCell ref="B2:P2"/>
    <mergeCell ref="B14:G14"/>
    <mergeCell ref="B8:G8"/>
    <mergeCell ref="B13:G13"/>
    <mergeCell ref="H7:J7"/>
    <mergeCell ref="H16:J16"/>
    <mergeCell ref="H13:J13"/>
    <mergeCell ref="B19:P19"/>
    <mergeCell ref="B9:G9"/>
    <mergeCell ref="H12:J12"/>
    <mergeCell ref="B15:G15"/>
    <mergeCell ref="B6:G6"/>
    <mergeCell ref="H15:J15"/>
    <mergeCell ref="B83:P83"/>
    <mergeCell ref="B5:G5"/>
    <mergeCell ref="H14:J14"/>
    <mergeCell ref="H5:J5"/>
    <mergeCell ref="H8:J8"/>
    <mergeCell ref="B4:J4"/>
    <mergeCell ref="B7:G7"/>
    <mergeCell ref="B16:G16"/>
    <mergeCell ref="H9:J9"/>
    <mergeCell ref="B12:G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8C"/>
    <outlinePr summaryBelow="1" summaryRight="1"/>
    <pageSetUpPr/>
  </sheetPr>
  <dimension ref="A1:M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2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5" customHeight="1">
      <c r="A2" s="1" t="n"/>
      <c r="B2" s="37" t="inlineStr">
        <is>
          <t>💎  CONTROLE DE SINAIS E PAGAMENTOS</t>
        </is>
      </c>
    </row>
    <row r="3" ht="26" customHeight="1">
      <c r="A3" s="1" t="n"/>
      <c r="B3" s="36" t="inlineStr">
        <is>
          <t>AGUARDANDO</t>
        </is>
      </c>
      <c r="E3" s="36" t="inlineStr">
        <is>
          <t>RECEBIDOS</t>
        </is>
      </c>
      <c r="H3" s="36" t="inlineStr">
        <is>
          <t>ATRASADOS</t>
        </is>
      </c>
      <c r="K3" s="36" t="inlineStr">
        <is>
          <t>TOTAL SINAIS</t>
        </is>
      </c>
    </row>
    <row r="4" ht="36" customHeight="1">
      <c r="A4" s="1" t="n"/>
      <c r="B4" s="97">
        <f>COUNTIF(I5:I104,"Pendente")</f>
        <v/>
      </c>
      <c r="E4" s="98">
        <f>COUNTIF(I5:I104,"Pago")</f>
        <v/>
      </c>
      <c r="H4" s="99">
        <f>COUNTIF(I5:I104,"Atrasado")</f>
        <v/>
      </c>
      <c r="K4" s="100">
        <f>SUM(F5:F104)</f>
        <v/>
      </c>
    </row>
    <row r="5">
      <c r="A5" s="1" t="n"/>
      <c r="B5" s="38" t="inlineStr">
        <is>
          <t>CLIENTE</t>
        </is>
      </c>
      <c r="C5" s="38" t="inlineStr">
        <is>
          <t>DATA SESSÃO</t>
        </is>
      </c>
      <c r="D5" s="38" t="inlineStr">
        <is>
          <t>DATA VENCIM.</t>
        </is>
      </c>
      <c r="E5" s="38" t="inlineStr">
        <is>
          <t>ESTILO</t>
        </is>
      </c>
      <c r="F5" s="38" t="inlineStr">
        <is>
          <t>VALOR TOTAL</t>
        </is>
      </c>
      <c r="G5" s="38" t="inlineStr">
        <is>
          <t>SINAL COBRADO</t>
        </is>
      </c>
      <c r="H5" s="38" t="inlineStr">
        <is>
          <t>SALDO</t>
        </is>
      </c>
      <c r="I5" s="38" t="inlineStr">
        <is>
          <t>DATA PAGTO</t>
        </is>
      </c>
      <c r="J5" s="38" t="inlineStr">
        <is>
          <t>STATUS</t>
        </is>
      </c>
      <c r="K5" s="38" t="inlineStr">
        <is>
          <t>OBSERVAÇÕES</t>
        </is>
      </c>
      <c r="L5" s="1" t="n"/>
      <c r="M5" s="1" t="n"/>
    </row>
    <row r="6" ht="18" customHeight="1">
      <c r="A6" s="1" t="n"/>
      <c r="B6" s="33" t="n"/>
      <c r="C6" s="33" t="n"/>
      <c r="D6" s="33" t="n"/>
      <c r="E6" s="33" t="n"/>
      <c r="F6" s="42" t="n"/>
      <c r="G6" s="42" t="n"/>
      <c r="H6" s="42">
        <f>IF(F6&lt;&gt;"",F6-G6,"")</f>
        <v/>
      </c>
      <c r="I6" s="33" t="n"/>
      <c r="J6" s="33" t="n"/>
      <c r="K6" s="33" t="n"/>
      <c r="L6" s="1" t="n"/>
      <c r="M6" s="1" t="n"/>
    </row>
    <row r="7" ht="18" customHeight="1">
      <c r="A7" s="1" t="n"/>
      <c r="B7" s="39" t="n"/>
      <c r="C7" s="39" t="n"/>
      <c r="D7" s="39" t="n"/>
      <c r="E7" s="39" t="n"/>
      <c r="F7" s="40" t="n"/>
      <c r="G7" s="40" t="n"/>
      <c r="H7" s="40">
        <f>IF(F7&lt;&gt;"",F7-G7,"")</f>
        <v/>
      </c>
      <c r="I7" s="39" t="n"/>
      <c r="J7" s="39" t="n"/>
      <c r="K7" s="39" t="n"/>
      <c r="L7" s="1" t="n"/>
      <c r="M7" s="1" t="n"/>
    </row>
    <row r="8" ht="18" customHeight="1">
      <c r="A8" s="1" t="n"/>
      <c r="B8" s="33" t="n"/>
      <c r="C8" s="33" t="n"/>
      <c r="D8" s="33" t="n"/>
      <c r="E8" s="33" t="n"/>
      <c r="F8" s="42" t="n"/>
      <c r="G8" s="42" t="n"/>
      <c r="H8" s="42">
        <f>IF(F8&lt;&gt;"",F8-G8,"")</f>
        <v/>
      </c>
      <c r="I8" s="33" t="n"/>
      <c r="J8" s="33" t="n"/>
      <c r="K8" s="33" t="n"/>
      <c r="L8" s="1" t="n"/>
      <c r="M8" s="1" t="n"/>
    </row>
    <row r="9" ht="18" customHeight="1">
      <c r="A9" s="1" t="n"/>
      <c r="B9" s="39" t="n"/>
      <c r="C9" s="39" t="n"/>
      <c r="D9" s="39" t="n"/>
      <c r="E9" s="39" t="n"/>
      <c r="F9" s="40" t="n"/>
      <c r="G9" s="40" t="n"/>
      <c r="H9" s="40">
        <f>IF(F9&lt;&gt;"",F9-G9,"")</f>
        <v/>
      </c>
      <c r="I9" s="39" t="n"/>
      <c r="J9" s="39" t="n"/>
      <c r="K9" s="39" t="n"/>
      <c r="L9" s="1" t="n"/>
      <c r="M9" s="1" t="n"/>
    </row>
    <row r="10" ht="18" customHeight="1">
      <c r="A10" s="1" t="n"/>
      <c r="B10" s="33" t="n"/>
      <c r="C10" s="33" t="n"/>
      <c r="D10" s="33" t="n"/>
      <c r="E10" s="33" t="n"/>
      <c r="F10" s="42" t="n"/>
      <c r="G10" s="42" t="n"/>
      <c r="H10" s="42">
        <f>IF(F10&lt;&gt;"",F10-G10,"")</f>
        <v/>
      </c>
      <c r="I10" s="33" t="n"/>
      <c r="J10" s="33" t="n"/>
      <c r="K10" s="33" t="n"/>
      <c r="L10" s="1" t="n"/>
      <c r="M10" s="1" t="n"/>
    </row>
    <row r="11" ht="18" customHeight="1">
      <c r="A11" s="1" t="n"/>
      <c r="B11" s="39" t="n"/>
      <c r="C11" s="39" t="n"/>
      <c r="D11" s="39" t="n"/>
      <c r="E11" s="39" t="n"/>
      <c r="F11" s="40" t="n"/>
      <c r="G11" s="40" t="n"/>
      <c r="H11" s="40">
        <f>IF(F11&lt;&gt;"",F11-G11,"")</f>
        <v/>
      </c>
      <c r="I11" s="39" t="n"/>
      <c r="J11" s="39" t="n"/>
      <c r="K11" s="39" t="n"/>
      <c r="L11" s="1" t="n"/>
      <c r="M11" s="1" t="n"/>
    </row>
    <row r="12" ht="18" customHeight="1">
      <c r="A12" s="1" t="n"/>
      <c r="B12" s="33" t="n"/>
      <c r="C12" s="33" t="n"/>
      <c r="D12" s="33" t="n"/>
      <c r="E12" s="33" t="n"/>
      <c r="F12" s="42" t="n"/>
      <c r="G12" s="42" t="n"/>
      <c r="H12" s="42">
        <f>IF(F12&lt;&gt;"",F12-G12,"")</f>
        <v/>
      </c>
      <c r="I12" s="33" t="n"/>
      <c r="J12" s="33" t="n"/>
      <c r="K12" s="33" t="n"/>
      <c r="L12" s="1" t="n"/>
      <c r="M12" s="1" t="n"/>
    </row>
    <row r="13" ht="18" customHeight="1">
      <c r="A13" s="1" t="n"/>
      <c r="B13" s="39" t="n"/>
      <c r="C13" s="39" t="n"/>
      <c r="D13" s="39" t="n"/>
      <c r="E13" s="39" t="n"/>
      <c r="F13" s="40" t="n"/>
      <c r="G13" s="40" t="n"/>
      <c r="H13" s="40">
        <f>IF(F13&lt;&gt;"",F13-G13,"")</f>
        <v/>
      </c>
      <c r="I13" s="39" t="n"/>
      <c r="J13" s="39" t="n"/>
      <c r="K13" s="39" t="n"/>
      <c r="L13" s="1" t="n"/>
      <c r="M13" s="1" t="n"/>
    </row>
    <row r="14" ht="18" customHeight="1">
      <c r="A14" s="1" t="n"/>
      <c r="B14" s="33" t="n"/>
      <c r="C14" s="33" t="n"/>
      <c r="D14" s="33" t="n"/>
      <c r="E14" s="33" t="n"/>
      <c r="F14" s="42" t="n"/>
      <c r="G14" s="42" t="n"/>
      <c r="H14" s="42">
        <f>IF(F14&lt;&gt;"",F14-G14,"")</f>
        <v/>
      </c>
      <c r="I14" s="33" t="n"/>
      <c r="J14" s="33" t="n"/>
      <c r="K14" s="33" t="n"/>
      <c r="L14" s="1" t="n"/>
      <c r="M14" s="1" t="n"/>
    </row>
    <row r="15" ht="18" customHeight="1">
      <c r="A15" s="1" t="n"/>
      <c r="B15" s="39" t="n"/>
      <c r="C15" s="39" t="n"/>
      <c r="D15" s="39" t="n"/>
      <c r="E15" s="39" t="n"/>
      <c r="F15" s="40" t="n"/>
      <c r="G15" s="40" t="n"/>
      <c r="H15" s="40">
        <f>IF(F15&lt;&gt;"",F15-G15,"")</f>
        <v/>
      </c>
      <c r="I15" s="39" t="n"/>
      <c r="J15" s="39" t="n"/>
      <c r="K15" s="39" t="n"/>
      <c r="L15" s="1" t="n"/>
      <c r="M15" s="1" t="n"/>
    </row>
    <row r="16" ht="18" customHeight="1">
      <c r="A16" s="1" t="n"/>
      <c r="B16" s="33" t="n"/>
      <c r="C16" s="33" t="n"/>
      <c r="D16" s="33" t="n"/>
      <c r="E16" s="33" t="n"/>
      <c r="F16" s="42" t="n"/>
      <c r="G16" s="42" t="n"/>
      <c r="H16" s="42">
        <f>IF(F16&lt;&gt;"",F16-G16,"")</f>
        <v/>
      </c>
      <c r="I16" s="33" t="n"/>
      <c r="J16" s="33" t="n"/>
      <c r="K16" s="33" t="n"/>
      <c r="L16" s="1" t="n"/>
      <c r="M16" s="1" t="n"/>
    </row>
    <row r="17" ht="18" customHeight="1">
      <c r="A17" s="1" t="n"/>
      <c r="B17" s="39" t="n"/>
      <c r="C17" s="39" t="n"/>
      <c r="D17" s="39" t="n"/>
      <c r="E17" s="39" t="n"/>
      <c r="F17" s="40" t="n"/>
      <c r="G17" s="40" t="n"/>
      <c r="H17" s="40">
        <f>IF(F17&lt;&gt;"",F17-G17,"")</f>
        <v/>
      </c>
      <c r="I17" s="39" t="n"/>
      <c r="J17" s="39" t="n"/>
      <c r="K17" s="39" t="n"/>
      <c r="L17" s="1" t="n"/>
      <c r="M17" s="1" t="n"/>
    </row>
    <row r="18" ht="18" customHeight="1">
      <c r="A18" s="1" t="n"/>
      <c r="B18" s="33" t="n"/>
      <c r="C18" s="33" t="n"/>
      <c r="D18" s="33" t="n"/>
      <c r="E18" s="33" t="n"/>
      <c r="F18" s="42" t="n"/>
      <c r="G18" s="42" t="n"/>
      <c r="H18" s="42">
        <f>IF(F18&lt;&gt;"",F18-G18,"")</f>
        <v/>
      </c>
      <c r="I18" s="33" t="n"/>
      <c r="J18" s="33" t="n"/>
      <c r="K18" s="33" t="n"/>
      <c r="L18" s="1" t="n"/>
      <c r="M18" s="1" t="n"/>
    </row>
    <row r="19" ht="18" customHeight="1">
      <c r="A19" s="1" t="n"/>
      <c r="B19" s="39" t="n"/>
      <c r="C19" s="39" t="n"/>
      <c r="D19" s="39" t="n"/>
      <c r="E19" s="39" t="n"/>
      <c r="F19" s="40" t="n"/>
      <c r="G19" s="40" t="n"/>
      <c r="H19" s="40">
        <f>IF(F19&lt;&gt;"",F19-G19,"")</f>
        <v/>
      </c>
      <c r="I19" s="39" t="n"/>
      <c r="J19" s="39" t="n"/>
      <c r="K19" s="39" t="n"/>
      <c r="L19" s="1" t="n"/>
      <c r="M19" s="1" t="n"/>
    </row>
    <row r="20" ht="18" customHeight="1">
      <c r="A20" s="1" t="n"/>
      <c r="B20" s="33" t="n"/>
      <c r="C20" s="33" t="n"/>
      <c r="D20" s="33" t="n"/>
      <c r="E20" s="33" t="n"/>
      <c r="F20" s="42" t="n"/>
      <c r="G20" s="42" t="n"/>
      <c r="H20" s="42">
        <f>IF(F20&lt;&gt;"",F20-G20,"")</f>
        <v/>
      </c>
      <c r="I20" s="33" t="n"/>
      <c r="J20" s="33" t="n"/>
      <c r="K20" s="33" t="n"/>
      <c r="L20" s="1" t="n"/>
      <c r="M20" s="1" t="n"/>
    </row>
    <row r="21" ht="18" customHeight="1">
      <c r="A21" s="1" t="n"/>
      <c r="B21" s="39" t="n"/>
      <c r="C21" s="39" t="n"/>
      <c r="D21" s="39" t="n"/>
      <c r="E21" s="39" t="n"/>
      <c r="F21" s="40" t="n"/>
      <c r="G21" s="40" t="n"/>
      <c r="H21" s="40">
        <f>IF(F21&lt;&gt;"",F21-G21,"")</f>
        <v/>
      </c>
      <c r="I21" s="39" t="n"/>
      <c r="J21" s="39" t="n"/>
      <c r="K21" s="39" t="n"/>
      <c r="L21" s="1" t="n"/>
      <c r="M21" s="1" t="n"/>
    </row>
    <row r="22" ht="18" customHeight="1">
      <c r="A22" s="1" t="n"/>
      <c r="B22" s="33" t="n"/>
      <c r="C22" s="33" t="n"/>
      <c r="D22" s="33" t="n"/>
      <c r="E22" s="33" t="n"/>
      <c r="F22" s="42" t="n"/>
      <c r="G22" s="42" t="n"/>
      <c r="H22" s="42">
        <f>IF(F22&lt;&gt;"",F22-G22,"")</f>
        <v/>
      </c>
      <c r="I22" s="33" t="n"/>
      <c r="J22" s="33" t="n"/>
      <c r="K22" s="33" t="n"/>
      <c r="L22" s="1" t="n"/>
      <c r="M22" s="1" t="n"/>
    </row>
    <row r="23" ht="18" customHeight="1">
      <c r="A23" s="1" t="n"/>
      <c r="B23" s="39" t="n"/>
      <c r="C23" s="39" t="n"/>
      <c r="D23" s="39" t="n"/>
      <c r="E23" s="39" t="n"/>
      <c r="F23" s="40" t="n"/>
      <c r="G23" s="40" t="n"/>
      <c r="H23" s="40">
        <f>IF(F23&lt;&gt;"",F23-G23,"")</f>
        <v/>
      </c>
      <c r="I23" s="39" t="n"/>
      <c r="J23" s="39" t="n"/>
      <c r="K23" s="39" t="n"/>
      <c r="L23" s="1" t="n"/>
      <c r="M23" s="1" t="n"/>
    </row>
    <row r="24" ht="18" customHeight="1">
      <c r="A24" s="1" t="n"/>
      <c r="B24" s="33" t="n"/>
      <c r="C24" s="33" t="n"/>
      <c r="D24" s="33" t="n"/>
      <c r="E24" s="33" t="n"/>
      <c r="F24" s="42" t="n"/>
      <c r="G24" s="42" t="n"/>
      <c r="H24" s="42">
        <f>IF(F24&lt;&gt;"",F24-G24,"")</f>
        <v/>
      </c>
      <c r="I24" s="33" t="n"/>
      <c r="J24" s="33" t="n"/>
      <c r="K24" s="33" t="n"/>
      <c r="L24" s="1" t="n"/>
      <c r="M24" s="1" t="n"/>
    </row>
    <row r="25" ht="18" customHeight="1">
      <c r="A25" s="1" t="n"/>
      <c r="B25" s="39" t="n"/>
      <c r="C25" s="39" t="n"/>
      <c r="D25" s="39" t="n"/>
      <c r="E25" s="39" t="n"/>
      <c r="F25" s="40" t="n"/>
      <c r="G25" s="40" t="n"/>
      <c r="H25" s="40">
        <f>IF(F25&lt;&gt;"",F25-G25,"")</f>
        <v/>
      </c>
      <c r="I25" s="39" t="n"/>
      <c r="J25" s="39" t="n"/>
      <c r="K25" s="39" t="n"/>
      <c r="L25" s="1" t="n"/>
      <c r="M25" s="1" t="n"/>
    </row>
    <row r="26" ht="18" customHeight="1">
      <c r="A26" s="1" t="n"/>
      <c r="B26" s="33" t="n"/>
      <c r="C26" s="33" t="n"/>
      <c r="D26" s="33" t="n"/>
      <c r="E26" s="33" t="n"/>
      <c r="F26" s="42" t="n"/>
      <c r="G26" s="42" t="n"/>
      <c r="H26" s="42">
        <f>IF(F26&lt;&gt;"",F26-G26,"")</f>
        <v/>
      </c>
      <c r="I26" s="33" t="n"/>
      <c r="J26" s="33" t="n"/>
      <c r="K26" s="33" t="n"/>
      <c r="L26" s="1" t="n"/>
      <c r="M26" s="1" t="n"/>
    </row>
    <row r="27" ht="18" customHeight="1">
      <c r="A27" s="1" t="n"/>
      <c r="B27" s="39" t="n"/>
      <c r="C27" s="39" t="n"/>
      <c r="D27" s="39" t="n"/>
      <c r="E27" s="39" t="n"/>
      <c r="F27" s="40" t="n"/>
      <c r="G27" s="40" t="n"/>
      <c r="H27" s="40">
        <f>IF(F27&lt;&gt;"",F27-G27,"")</f>
        <v/>
      </c>
      <c r="I27" s="39" t="n"/>
      <c r="J27" s="39" t="n"/>
      <c r="K27" s="39" t="n"/>
      <c r="L27" s="1" t="n"/>
      <c r="M27" s="1" t="n"/>
    </row>
    <row r="28" ht="18" customHeight="1">
      <c r="A28" s="1" t="n"/>
      <c r="B28" s="33" t="n"/>
      <c r="C28" s="33" t="n"/>
      <c r="D28" s="33" t="n"/>
      <c r="E28" s="33" t="n"/>
      <c r="F28" s="42" t="n"/>
      <c r="G28" s="42" t="n"/>
      <c r="H28" s="42">
        <f>IF(F28&lt;&gt;"",F28-G28,"")</f>
        <v/>
      </c>
      <c r="I28" s="33" t="n"/>
      <c r="J28" s="33" t="n"/>
      <c r="K28" s="33" t="n"/>
      <c r="L28" s="1" t="n"/>
      <c r="M28" s="1" t="n"/>
    </row>
    <row r="29" ht="18" customHeight="1">
      <c r="A29" s="1" t="n"/>
      <c r="B29" s="39" t="n"/>
      <c r="C29" s="39" t="n"/>
      <c r="D29" s="39" t="n"/>
      <c r="E29" s="39" t="n"/>
      <c r="F29" s="40" t="n"/>
      <c r="G29" s="40" t="n"/>
      <c r="H29" s="40">
        <f>IF(F29&lt;&gt;"",F29-G29,"")</f>
        <v/>
      </c>
      <c r="I29" s="39" t="n"/>
      <c r="J29" s="39" t="n"/>
      <c r="K29" s="39" t="n"/>
      <c r="L29" s="1" t="n"/>
      <c r="M29" s="1" t="n"/>
    </row>
    <row r="30" ht="18" customHeight="1">
      <c r="A30" s="1" t="n"/>
      <c r="B30" s="33" t="n"/>
      <c r="C30" s="33" t="n"/>
      <c r="D30" s="33" t="n"/>
      <c r="E30" s="33" t="n"/>
      <c r="F30" s="42" t="n"/>
      <c r="G30" s="42" t="n"/>
      <c r="H30" s="42">
        <f>IF(F30&lt;&gt;"",F30-G30,"")</f>
        <v/>
      </c>
      <c r="I30" s="33" t="n"/>
      <c r="J30" s="33" t="n"/>
      <c r="K30" s="33" t="n"/>
      <c r="L30" s="1" t="n"/>
      <c r="M30" s="1" t="n"/>
    </row>
    <row r="31" ht="18" customHeight="1">
      <c r="A31" s="1" t="n"/>
      <c r="B31" s="39" t="n"/>
      <c r="C31" s="39" t="n"/>
      <c r="D31" s="39" t="n"/>
      <c r="E31" s="39" t="n"/>
      <c r="F31" s="40" t="n"/>
      <c r="G31" s="40" t="n"/>
      <c r="H31" s="40">
        <f>IF(F31&lt;&gt;"",F31-G31,"")</f>
        <v/>
      </c>
      <c r="I31" s="39" t="n"/>
      <c r="J31" s="39" t="n"/>
      <c r="K31" s="39" t="n"/>
      <c r="L31" s="1" t="n"/>
      <c r="M31" s="1" t="n"/>
    </row>
    <row r="32" ht="18" customHeight="1">
      <c r="A32" s="1" t="n"/>
      <c r="B32" s="33" t="n"/>
      <c r="C32" s="33" t="n"/>
      <c r="D32" s="33" t="n"/>
      <c r="E32" s="33" t="n"/>
      <c r="F32" s="42" t="n"/>
      <c r="G32" s="42" t="n"/>
      <c r="H32" s="42">
        <f>IF(F32&lt;&gt;"",F32-G32,"")</f>
        <v/>
      </c>
      <c r="I32" s="33" t="n"/>
      <c r="J32" s="33" t="n"/>
      <c r="K32" s="33" t="n"/>
      <c r="L32" s="1" t="n"/>
      <c r="M32" s="1" t="n"/>
    </row>
    <row r="33" ht="18" customHeight="1">
      <c r="A33" s="1" t="n"/>
      <c r="B33" s="39" t="n"/>
      <c r="C33" s="39" t="n"/>
      <c r="D33" s="39" t="n"/>
      <c r="E33" s="39" t="n"/>
      <c r="F33" s="40" t="n"/>
      <c r="G33" s="40" t="n"/>
      <c r="H33" s="40">
        <f>IF(F33&lt;&gt;"",F33-G33,"")</f>
        <v/>
      </c>
      <c r="I33" s="39" t="n"/>
      <c r="J33" s="39" t="n"/>
      <c r="K33" s="39" t="n"/>
      <c r="L33" s="1" t="n"/>
      <c r="M33" s="1" t="n"/>
    </row>
    <row r="34" ht="18" customHeight="1">
      <c r="A34" s="1" t="n"/>
      <c r="B34" s="33" t="n"/>
      <c r="C34" s="33" t="n"/>
      <c r="D34" s="33" t="n"/>
      <c r="E34" s="33" t="n"/>
      <c r="F34" s="42" t="n"/>
      <c r="G34" s="42" t="n"/>
      <c r="H34" s="42">
        <f>IF(F34&lt;&gt;"",F34-G34,"")</f>
        <v/>
      </c>
      <c r="I34" s="33" t="n"/>
      <c r="J34" s="33" t="n"/>
      <c r="K34" s="33" t="n"/>
      <c r="L34" s="1" t="n"/>
      <c r="M34" s="1" t="n"/>
    </row>
    <row r="35" ht="18" customHeight="1">
      <c r="A35" s="1" t="n"/>
      <c r="B35" s="39" t="n"/>
      <c r="C35" s="39" t="n"/>
      <c r="D35" s="39" t="n"/>
      <c r="E35" s="39" t="n"/>
      <c r="F35" s="40" t="n"/>
      <c r="G35" s="40" t="n"/>
      <c r="H35" s="40">
        <f>IF(F35&lt;&gt;"",F35-G35,"")</f>
        <v/>
      </c>
      <c r="I35" s="39" t="n"/>
      <c r="J35" s="39" t="n"/>
      <c r="K35" s="39" t="n"/>
      <c r="L35" s="1" t="n"/>
      <c r="M35" s="1" t="n"/>
    </row>
    <row r="36" ht="18" customHeight="1">
      <c r="A36" s="1" t="n"/>
      <c r="B36" s="33" t="n"/>
      <c r="C36" s="33" t="n"/>
      <c r="D36" s="33" t="n"/>
      <c r="E36" s="33" t="n"/>
      <c r="F36" s="42" t="n"/>
      <c r="G36" s="42" t="n"/>
      <c r="H36" s="42">
        <f>IF(F36&lt;&gt;"",F36-G36,"")</f>
        <v/>
      </c>
      <c r="I36" s="33" t="n"/>
      <c r="J36" s="33" t="n"/>
      <c r="K36" s="33" t="n"/>
      <c r="L36" s="1" t="n"/>
      <c r="M36" s="1" t="n"/>
    </row>
    <row r="37" ht="18" customHeight="1">
      <c r="A37" s="1" t="n"/>
      <c r="B37" s="39" t="n"/>
      <c r="C37" s="39" t="n"/>
      <c r="D37" s="39" t="n"/>
      <c r="E37" s="39" t="n"/>
      <c r="F37" s="40" t="n"/>
      <c r="G37" s="40" t="n"/>
      <c r="H37" s="40">
        <f>IF(F37&lt;&gt;"",F37-G37,"")</f>
        <v/>
      </c>
      <c r="I37" s="39" t="n"/>
      <c r="J37" s="39" t="n"/>
      <c r="K37" s="39" t="n"/>
      <c r="L37" s="1" t="n"/>
      <c r="M37" s="1" t="n"/>
    </row>
    <row r="38" ht="18" customHeight="1">
      <c r="A38" s="1" t="n"/>
      <c r="B38" s="33" t="n"/>
      <c r="C38" s="33" t="n"/>
      <c r="D38" s="33" t="n"/>
      <c r="E38" s="33" t="n"/>
      <c r="F38" s="42" t="n"/>
      <c r="G38" s="42" t="n"/>
      <c r="H38" s="42">
        <f>IF(F38&lt;&gt;"",F38-G38,"")</f>
        <v/>
      </c>
      <c r="I38" s="33" t="n"/>
      <c r="J38" s="33" t="n"/>
      <c r="K38" s="33" t="n"/>
      <c r="L38" s="1" t="n"/>
      <c r="M38" s="1" t="n"/>
    </row>
    <row r="39" ht="18" customHeight="1">
      <c r="A39" s="1" t="n"/>
      <c r="B39" s="39" t="n"/>
      <c r="C39" s="39" t="n"/>
      <c r="D39" s="39" t="n"/>
      <c r="E39" s="39" t="n"/>
      <c r="F39" s="40" t="n"/>
      <c r="G39" s="40" t="n"/>
      <c r="H39" s="40">
        <f>IF(F39&lt;&gt;"",F39-G39,"")</f>
        <v/>
      </c>
      <c r="I39" s="39" t="n"/>
      <c r="J39" s="39" t="n"/>
      <c r="K39" s="39" t="n"/>
      <c r="L39" s="1" t="n"/>
      <c r="M39" s="1" t="n"/>
    </row>
    <row r="40" ht="18" customHeight="1">
      <c r="A40" s="1" t="n"/>
      <c r="B40" s="33" t="n"/>
      <c r="C40" s="33" t="n"/>
      <c r="D40" s="33" t="n"/>
      <c r="E40" s="33" t="n"/>
      <c r="F40" s="42" t="n"/>
      <c r="G40" s="42" t="n"/>
      <c r="H40" s="42">
        <f>IF(F40&lt;&gt;"",F40-G40,"")</f>
        <v/>
      </c>
      <c r="I40" s="33" t="n"/>
      <c r="J40" s="33" t="n"/>
      <c r="K40" s="33" t="n"/>
      <c r="L40" s="1" t="n"/>
      <c r="M40" s="1" t="n"/>
    </row>
    <row r="41" ht="18" customHeight="1">
      <c r="A41" s="1" t="n"/>
      <c r="B41" s="39" t="n"/>
      <c r="C41" s="39" t="n"/>
      <c r="D41" s="39" t="n"/>
      <c r="E41" s="39" t="n"/>
      <c r="F41" s="40" t="n"/>
      <c r="G41" s="40" t="n"/>
      <c r="H41" s="40">
        <f>IF(F41&lt;&gt;"",F41-G41,"")</f>
        <v/>
      </c>
      <c r="I41" s="39" t="n"/>
      <c r="J41" s="39" t="n"/>
      <c r="K41" s="39" t="n"/>
      <c r="L41" s="1" t="n"/>
      <c r="M41" s="1" t="n"/>
    </row>
    <row r="42" ht="18" customHeight="1">
      <c r="A42" s="1" t="n"/>
      <c r="B42" s="33" t="n"/>
      <c r="C42" s="33" t="n"/>
      <c r="D42" s="33" t="n"/>
      <c r="E42" s="33" t="n"/>
      <c r="F42" s="42" t="n"/>
      <c r="G42" s="42" t="n"/>
      <c r="H42" s="42">
        <f>IF(F42&lt;&gt;"",F42-G42,"")</f>
        <v/>
      </c>
      <c r="I42" s="33" t="n"/>
      <c r="J42" s="33" t="n"/>
      <c r="K42" s="33" t="n"/>
      <c r="L42" s="1" t="n"/>
      <c r="M42" s="1" t="n"/>
    </row>
    <row r="43" ht="18" customHeight="1">
      <c r="A43" s="1" t="n"/>
      <c r="B43" s="39" t="n"/>
      <c r="C43" s="39" t="n"/>
      <c r="D43" s="39" t="n"/>
      <c r="E43" s="39" t="n"/>
      <c r="F43" s="40" t="n"/>
      <c r="G43" s="40" t="n"/>
      <c r="H43" s="40">
        <f>IF(F43&lt;&gt;"",F43-G43,"")</f>
        <v/>
      </c>
      <c r="I43" s="39" t="n"/>
      <c r="J43" s="39" t="n"/>
      <c r="K43" s="39" t="n"/>
      <c r="L43" s="1" t="n"/>
      <c r="M43" s="1" t="n"/>
    </row>
    <row r="44" ht="18" customHeight="1">
      <c r="A44" s="1" t="n"/>
      <c r="B44" s="33" t="n"/>
      <c r="C44" s="33" t="n"/>
      <c r="D44" s="33" t="n"/>
      <c r="E44" s="33" t="n"/>
      <c r="F44" s="42" t="n"/>
      <c r="G44" s="42" t="n"/>
      <c r="H44" s="42">
        <f>IF(F44&lt;&gt;"",F44-G44,"")</f>
        <v/>
      </c>
      <c r="I44" s="33" t="n"/>
      <c r="J44" s="33" t="n"/>
      <c r="K44" s="33" t="n"/>
      <c r="L44" s="1" t="n"/>
      <c r="M44" s="1" t="n"/>
    </row>
    <row r="45" ht="18" customHeight="1">
      <c r="A45" s="1" t="n"/>
      <c r="B45" s="39" t="n"/>
      <c r="C45" s="39" t="n"/>
      <c r="D45" s="39" t="n"/>
      <c r="E45" s="39" t="n"/>
      <c r="F45" s="40" t="n"/>
      <c r="G45" s="40" t="n"/>
      <c r="H45" s="40">
        <f>IF(F45&lt;&gt;"",F45-G45,"")</f>
        <v/>
      </c>
      <c r="I45" s="39" t="n"/>
      <c r="J45" s="39" t="n"/>
      <c r="K45" s="39" t="n"/>
      <c r="L45" s="1" t="n"/>
      <c r="M45" s="1" t="n"/>
    </row>
    <row r="46" ht="18" customHeight="1">
      <c r="A46" s="1" t="n"/>
      <c r="B46" s="33" t="n"/>
      <c r="C46" s="33" t="n"/>
      <c r="D46" s="33" t="n"/>
      <c r="E46" s="33" t="n"/>
      <c r="F46" s="42" t="n"/>
      <c r="G46" s="42" t="n"/>
      <c r="H46" s="42">
        <f>IF(F46&lt;&gt;"",F46-G46,"")</f>
        <v/>
      </c>
      <c r="I46" s="33" t="n"/>
      <c r="J46" s="33" t="n"/>
      <c r="K46" s="33" t="n"/>
      <c r="L46" s="1" t="n"/>
      <c r="M46" s="1" t="n"/>
    </row>
    <row r="47" ht="18" customHeight="1">
      <c r="A47" s="1" t="n"/>
      <c r="B47" s="39" t="n"/>
      <c r="C47" s="39" t="n"/>
      <c r="D47" s="39" t="n"/>
      <c r="E47" s="39" t="n"/>
      <c r="F47" s="40" t="n"/>
      <c r="G47" s="40" t="n"/>
      <c r="H47" s="40">
        <f>IF(F47&lt;&gt;"",F47-G47,"")</f>
        <v/>
      </c>
      <c r="I47" s="39" t="n"/>
      <c r="J47" s="39" t="n"/>
      <c r="K47" s="39" t="n"/>
      <c r="L47" s="1" t="n"/>
      <c r="M47" s="1" t="n"/>
    </row>
    <row r="48" ht="18" customHeight="1">
      <c r="A48" s="1" t="n"/>
      <c r="B48" s="33" t="n"/>
      <c r="C48" s="33" t="n"/>
      <c r="D48" s="33" t="n"/>
      <c r="E48" s="33" t="n"/>
      <c r="F48" s="42" t="n"/>
      <c r="G48" s="42" t="n"/>
      <c r="H48" s="42">
        <f>IF(F48&lt;&gt;"",F48-G48,"")</f>
        <v/>
      </c>
      <c r="I48" s="33" t="n"/>
      <c r="J48" s="33" t="n"/>
      <c r="K48" s="33" t="n"/>
      <c r="L48" s="1" t="n"/>
      <c r="M48" s="1" t="n"/>
    </row>
    <row r="49" ht="18" customHeight="1">
      <c r="A49" s="1" t="n"/>
      <c r="B49" s="39" t="n"/>
      <c r="C49" s="39" t="n"/>
      <c r="D49" s="39" t="n"/>
      <c r="E49" s="39" t="n"/>
      <c r="F49" s="40" t="n"/>
      <c r="G49" s="40" t="n"/>
      <c r="H49" s="40">
        <f>IF(F49&lt;&gt;"",F49-G49,"")</f>
        <v/>
      </c>
      <c r="I49" s="39" t="n"/>
      <c r="J49" s="39" t="n"/>
      <c r="K49" s="39" t="n"/>
      <c r="L49" s="1" t="n"/>
      <c r="M49" s="1" t="n"/>
    </row>
    <row r="50" ht="18" customHeight="1">
      <c r="A50" s="1" t="n"/>
      <c r="B50" s="33" t="n"/>
      <c r="C50" s="33" t="n"/>
      <c r="D50" s="33" t="n"/>
      <c r="E50" s="33" t="n"/>
      <c r="F50" s="42" t="n"/>
      <c r="G50" s="42" t="n"/>
      <c r="H50" s="42">
        <f>IF(F50&lt;&gt;"",F50-G50,"")</f>
        <v/>
      </c>
      <c r="I50" s="33" t="n"/>
      <c r="J50" s="33" t="n"/>
      <c r="K50" s="33" t="n"/>
      <c r="L50" s="1" t="n"/>
      <c r="M50" s="1" t="n"/>
    </row>
    <row r="51" ht="18" customHeight="1">
      <c r="A51" s="1" t="n"/>
      <c r="B51" s="39" t="n"/>
      <c r="C51" s="39" t="n"/>
      <c r="D51" s="39" t="n"/>
      <c r="E51" s="39" t="n"/>
      <c r="F51" s="40" t="n"/>
      <c r="G51" s="40" t="n"/>
      <c r="H51" s="40">
        <f>IF(F51&lt;&gt;"",F51-G51,"")</f>
        <v/>
      </c>
      <c r="I51" s="39" t="n"/>
      <c r="J51" s="39" t="n"/>
      <c r="K51" s="39" t="n"/>
      <c r="L51" s="1" t="n"/>
      <c r="M51" s="1" t="n"/>
    </row>
    <row r="52" ht="18" customHeight="1">
      <c r="A52" s="1" t="n"/>
      <c r="B52" s="33" t="n"/>
      <c r="C52" s="33" t="n"/>
      <c r="D52" s="33" t="n"/>
      <c r="E52" s="33" t="n"/>
      <c r="F52" s="42" t="n"/>
      <c r="G52" s="42" t="n"/>
      <c r="H52" s="42">
        <f>IF(F52&lt;&gt;"",F52-G52,"")</f>
        <v/>
      </c>
      <c r="I52" s="33" t="n"/>
      <c r="J52" s="33" t="n"/>
      <c r="K52" s="33" t="n"/>
      <c r="L52" s="1" t="n"/>
      <c r="M52" s="1" t="n"/>
    </row>
    <row r="53" ht="18" customHeight="1">
      <c r="A53" s="1" t="n"/>
      <c r="B53" s="39" t="n"/>
      <c r="C53" s="39" t="n"/>
      <c r="D53" s="39" t="n"/>
      <c r="E53" s="39" t="n"/>
      <c r="F53" s="40" t="n"/>
      <c r="G53" s="40" t="n"/>
      <c r="H53" s="40">
        <f>IF(F53&lt;&gt;"",F53-G53,"")</f>
        <v/>
      </c>
      <c r="I53" s="39" t="n"/>
      <c r="J53" s="39" t="n"/>
      <c r="K53" s="39" t="n"/>
      <c r="L53" s="1" t="n"/>
      <c r="M53" s="1" t="n"/>
    </row>
    <row r="54" ht="18" customHeight="1">
      <c r="A54" s="1" t="n"/>
      <c r="B54" s="33" t="n"/>
      <c r="C54" s="33" t="n"/>
      <c r="D54" s="33" t="n"/>
      <c r="E54" s="33" t="n"/>
      <c r="F54" s="42" t="n"/>
      <c r="G54" s="42" t="n"/>
      <c r="H54" s="42">
        <f>IF(F54&lt;&gt;"",F54-G54,"")</f>
        <v/>
      </c>
      <c r="I54" s="33" t="n"/>
      <c r="J54" s="33" t="n"/>
      <c r="K54" s="33" t="n"/>
      <c r="L54" s="1" t="n"/>
      <c r="M54" s="1" t="n"/>
    </row>
    <row r="55" ht="18" customHeight="1">
      <c r="A55" s="1" t="n"/>
      <c r="B55" s="39" t="n"/>
      <c r="C55" s="39" t="n"/>
      <c r="D55" s="39" t="n"/>
      <c r="E55" s="39" t="n"/>
      <c r="F55" s="40" t="n"/>
      <c r="G55" s="40" t="n"/>
      <c r="H55" s="40">
        <f>IF(F55&lt;&gt;"",F55-G55,"")</f>
        <v/>
      </c>
      <c r="I55" s="39" t="n"/>
      <c r="J55" s="39" t="n"/>
      <c r="K55" s="39" t="n"/>
      <c r="L55" s="1" t="n"/>
      <c r="M55" s="1" t="n"/>
    </row>
    <row r="56" ht="18" customHeight="1">
      <c r="A56" s="1" t="n"/>
      <c r="B56" s="33" t="n"/>
      <c r="C56" s="33" t="n"/>
      <c r="D56" s="33" t="n"/>
      <c r="E56" s="33" t="n"/>
      <c r="F56" s="42" t="n"/>
      <c r="G56" s="42" t="n"/>
      <c r="H56" s="42">
        <f>IF(F56&lt;&gt;"",F56-G56,"")</f>
        <v/>
      </c>
      <c r="I56" s="33" t="n"/>
      <c r="J56" s="33" t="n"/>
      <c r="K56" s="33" t="n"/>
      <c r="L56" s="1" t="n"/>
      <c r="M56" s="1" t="n"/>
    </row>
    <row r="57" ht="18" customHeight="1">
      <c r="A57" s="1" t="n"/>
      <c r="B57" s="39" t="n"/>
      <c r="C57" s="39" t="n"/>
      <c r="D57" s="39" t="n"/>
      <c r="E57" s="39" t="n"/>
      <c r="F57" s="40" t="n"/>
      <c r="G57" s="40" t="n"/>
      <c r="H57" s="40">
        <f>IF(F57&lt;&gt;"",F57-G57,"")</f>
        <v/>
      </c>
      <c r="I57" s="39" t="n"/>
      <c r="J57" s="39" t="n"/>
      <c r="K57" s="39" t="n"/>
      <c r="L57" s="1" t="n"/>
      <c r="M57" s="1" t="n"/>
    </row>
    <row r="58" ht="18" customHeight="1">
      <c r="A58" s="1" t="n"/>
      <c r="B58" s="33" t="n"/>
      <c r="C58" s="33" t="n"/>
      <c r="D58" s="33" t="n"/>
      <c r="E58" s="33" t="n"/>
      <c r="F58" s="42" t="n"/>
      <c r="G58" s="42" t="n"/>
      <c r="H58" s="42">
        <f>IF(F58&lt;&gt;"",F58-G58,"")</f>
        <v/>
      </c>
      <c r="I58" s="33" t="n"/>
      <c r="J58" s="33" t="n"/>
      <c r="K58" s="33" t="n"/>
      <c r="L58" s="1" t="n"/>
      <c r="M58" s="1" t="n"/>
    </row>
    <row r="59" ht="18" customHeight="1">
      <c r="A59" s="1" t="n"/>
      <c r="B59" s="39" t="n"/>
      <c r="C59" s="39" t="n"/>
      <c r="D59" s="39" t="n"/>
      <c r="E59" s="39" t="n"/>
      <c r="F59" s="40" t="n"/>
      <c r="G59" s="40" t="n"/>
      <c r="H59" s="40">
        <f>IF(F59&lt;&gt;"",F59-G59,"")</f>
        <v/>
      </c>
      <c r="I59" s="39" t="n"/>
      <c r="J59" s="39" t="n"/>
      <c r="K59" s="39" t="n"/>
      <c r="L59" s="1" t="n"/>
      <c r="M59" s="1" t="n"/>
    </row>
    <row r="60" ht="18" customHeight="1">
      <c r="A60" s="1" t="n"/>
      <c r="B60" s="33" t="n"/>
      <c r="C60" s="33" t="n"/>
      <c r="D60" s="33" t="n"/>
      <c r="E60" s="33" t="n"/>
      <c r="F60" s="42" t="n"/>
      <c r="G60" s="42" t="n"/>
      <c r="H60" s="42">
        <f>IF(F60&lt;&gt;"",F60-G60,"")</f>
        <v/>
      </c>
      <c r="I60" s="33" t="n"/>
      <c r="J60" s="33" t="n"/>
      <c r="K60" s="33" t="n"/>
      <c r="L60" s="1" t="n"/>
      <c r="M60" s="1" t="n"/>
    </row>
    <row r="61" ht="18" customHeight="1">
      <c r="A61" s="1" t="n"/>
      <c r="B61" s="39" t="n"/>
      <c r="C61" s="39" t="n"/>
      <c r="D61" s="39" t="n"/>
      <c r="E61" s="39" t="n"/>
      <c r="F61" s="40" t="n"/>
      <c r="G61" s="40" t="n"/>
      <c r="H61" s="40">
        <f>IF(F61&lt;&gt;"",F61-G61,"")</f>
        <v/>
      </c>
      <c r="I61" s="39" t="n"/>
      <c r="J61" s="39" t="n"/>
      <c r="K61" s="39" t="n"/>
      <c r="L61" s="1" t="n"/>
      <c r="M61" s="1" t="n"/>
    </row>
    <row r="62" ht="18" customHeight="1">
      <c r="A62" s="1" t="n"/>
      <c r="B62" s="33" t="n"/>
      <c r="C62" s="33" t="n"/>
      <c r="D62" s="33" t="n"/>
      <c r="E62" s="33" t="n"/>
      <c r="F62" s="42" t="n"/>
      <c r="G62" s="42" t="n"/>
      <c r="H62" s="42">
        <f>IF(F62&lt;&gt;"",F62-G62,"")</f>
        <v/>
      </c>
      <c r="I62" s="33" t="n"/>
      <c r="J62" s="33" t="n"/>
      <c r="K62" s="33" t="n"/>
      <c r="L62" s="1" t="n"/>
      <c r="M62" s="1" t="n"/>
    </row>
    <row r="63" ht="18" customHeight="1">
      <c r="A63" s="1" t="n"/>
      <c r="B63" s="39" t="n"/>
      <c r="C63" s="39" t="n"/>
      <c r="D63" s="39" t="n"/>
      <c r="E63" s="39" t="n"/>
      <c r="F63" s="40" t="n"/>
      <c r="G63" s="40" t="n"/>
      <c r="H63" s="40">
        <f>IF(F63&lt;&gt;"",F63-G63,"")</f>
        <v/>
      </c>
      <c r="I63" s="39" t="n"/>
      <c r="J63" s="39" t="n"/>
      <c r="K63" s="39" t="n"/>
      <c r="L63" s="1" t="n"/>
      <c r="M63" s="1" t="n"/>
    </row>
    <row r="64" ht="18" customHeight="1">
      <c r="A64" s="1" t="n"/>
      <c r="B64" s="33" t="n"/>
      <c r="C64" s="33" t="n"/>
      <c r="D64" s="33" t="n"/>
      <c r="E64" s="33" t="n"/>
      <c r="F64" s="42" t="n"/>
      <c r="G64" s="42" t="n"/>
      <c r="H64" s="42">
        <f>IF(F64&lt;&gt;"",F64-G64,"")</f>
        <v/>
      </c>
      <c r="I64" s="33" t="n"/>
      <c r="J64" s="33" t="n"/>
      <c r="K64" s="33" t="n"/>
      <c r="L64" s="1" t="n"/>
      <c r="M64" s="1" t="n"/>
    </row>
    <row r="65" ht="18" customHeight="1">
      <c r="A65" s="1" t="n"/>
      <c r="B65" s="39" t="n"/>
      <c r="C65" s="39" t="n"/>
      <c r="D65" s="39" t="n"/>
      <c r="E65" s="39" t="n"/>
      <c r="F65" s="40" t="n"/>
      <c r="G65" s="40" t="n"/>
      <c r="H65" s="40">
        <f>IF(F65&lt;&gt;"",F65-G65,"")</f>
        <v/>
      </c>
      <c r="I65" s="39" t="n"/>
      <c r="J65" s="39" t="n"/>
      <c r="K65" s="39" t="n"/>
      <c r="L65" s="1" t="n"/>
      <c r="M65" s="1" t="n"/>
    </row>
    <row r="66" ht="18" customHeight="1">
      <c r="A66" s="1" t="n"/>
      <c r="B66" s="33" t="n"/>
      <c r="C66" s="33" t="n"/>
      <c r="D66" s="33" t="n"/>
      <c r="E66" s="33" t="n"/>
      <c r="F66" s="42" t="n"/>
      <c r="G66" s="42" t="n"/>
      <c r="H66" s="42">
        <f>IF(F66&lt;&gt;"",F66-G66,"")</f>
        <v/>
      </c>
      <c r="I66" s="33" t="n"/>
      <c r="J66" s="33" t="n"/>
      <c r="K66" s="33" t="n"/>
      <c r="L66" s="1" t="n"/>
      <c r="M66" s="1" t="n"/>
    </row>
    <row r="67" ht="18" customHeight="1">
      <c r="A67" s="1" t="n"/>
      <c r="B67" s="39" t="n"/>
      <c r="C67" s="39" t="n"/>
      <c r="D67" s="39" t="n"/>
      <c r="E67" s="39" t="n"/>
      <c r="F67" s="40" t="n"/>
      <c r="G67" s="40" t="n"/>
      <c r="H67" s="40">
        <f>IF(F67&lt;&gt;"",F67-G67,"")</f>
        <v/>
      </c>
      <c r="I67" s="39" t="n"/>
      <c r="J67" s="39" t="n"/>
      <c r="K67" s="39" t="n"/>
      <c r="L67" s="1" t="n"/>
      <c r="M67" s="1" t="n"/>
    </row>
    <row r="68" ht="18" customHeight="1">
      <c r="A68" s="1" t="n"/>
      <c r="B68" s="33" t="n"/>
      <c r="C68" s="33" t="n"/>
      <c r="D68" s="33" t="n"/>
      <c r="E68" s="33" t="n"/>
      <c r="F68" s="42" t="n"/>
      <c r="G68" s="42" t="n"/>
      <c r="H68" s="42">
        <f>IF(F68&lt;&gt;"",F68-G68,"")</f>
        <v/>
      </c>
      <c r="I68" s="33" t="n"/>
      <c r="J68" s="33" t="n"/>
      <c r="K68" s="33" t="n"/>
      <c r="L68" s="1" t="n"/>
      <c r="M68" s="1" t="n"/>
    </row>
    <row r="69" ht="18" customHeight="1">
      <c r="A69" s="1" t="n"/>
      <c r="B69" s="39" t="n"/>
      <c r="C69" s="39" t="n"/>
      <c r="D69" s="39" t="n"/>
      <c r="E69" s="39" t="n"/>
      <c r="F69" s="40" t="n"/>
      <c r="G69" s="40" t="n"/>
      <c r="H69" s="40">
        <f>IF(F69&lt;&gt;"",F69-G69,"")</f>
        <v/>
      </c>
      <c r="I69" s="39" t="n"/>
      <c r="J69" s="39" t="n"/>
      <c r="K69" s="39" t="n"/>
      <c r="L69" s="1" t="n"/>
      <c r="M69" s="1" t="n"/>
    </row>
    <row r="70" ht="18" customHeight="1">
      <c r="A70" s="1" t="n"/>
      <c r="B70" s="33" t="n"/>
      <c r="C70" s="33" t="n"/>
      <c r="D70" s="33" t="n"/>
      <c r="E70" s="33" t="n"/>
      <c r="F70" s="42" t="n"/>
      <c r="G70" s="42" t="n"/>
      <c r="H70" s="42">
        <f>IF(F70&lt;&gt;"",F70-G70,"")</f>
        <v/>
      </c>
      <c r="I70" s="33" t="n"/>
      <c r="J70" s="33" t="n"/>
      <c r="K70" s="33" t="n"/>
      <c r="L70" s="1" t="n"/>
      <c r="M70" s="1" t="n"/>
    </row>
    <row r="71" ht="18" customHeight="1">
      <c r="A71" s="1" t="n"/>
      <c r="B71" s="39" t="n"/>
      <c r="C71" s="39" t="n"/>
      <c r="D71" s="39" t="n"/>
      <c r="E71" s="39" t="n"/>
      <c r="F71" s="40" t="n"/>
      <c r="G71" s="40" t="n"/>
      <c r="H71" s="40">
        <f>IF(F71&lt;&gt;"",F71-G71,"")</f>
        <v/>
      </c>
      <c r="I71" s="39" t="n"/>
      <c r="J71" s="39" t="n"/>
      <c r="K71" s="39" t="n"/>
      <c r="L71" s="1" t="n"/>
      <c r="M71" s="1" t="n"/>
    </row>
    <row r="72" ht="18" customHeight="1">
      <c r="A72" s="1" t="n"/>
      <c r="B72" s="33" t="n"/>
      <c r="C72" s="33" t="n"/>
      <c r="D72" s="33" t="n"/>
      <c r="E72" s="33" t="n"/>
      <c r="F72" s="42" t="n"/>
      <c r="G72" s="42" t="n"/>
      <c r="H72" s="42">
        <f>IF(F72&lt;&gt;"",F72-G72,"")</f>
        <v/>
      </c>
      <c r="I72" s="33" t="n"/>
      <c r="J72" s="33" t="n"/>
      <c r="K72" s="33" t="n"/>
      <c r="L72" s="1" t="n"/>
      <c r="M72" s="1" t="n"/>
    </row>
    <row r="73" ht="18" customHeight="1">
      <c r="A73" s="1" t="n"/>
      <c r="B73" s="39" t="n"/>
      <c r="C73" s="39" t="n"/>
      <c r="D73" s="39" t="n"/>
      <c r="E73" s="39" t="n"/>
      <c r="F73" s="40" t="n"/>
      <c r="G73" s="40" t="n"/>
      <c r="H73" s="40">
        <f>IF(F73&lt;&gt;"",F73-G73,"")</f>
        <v/>
      </c>
      <c r="I73" s="39" t="n"/>
      <c r="J73" s="39" t="n"/>
      <c r="K73" s="39" t="n"/>
      <c r="L73" s="1" t="n"/>
      <c r="M73" s="1" t="n"/>
    </row>
    <row r="74" ht="18" customHeight="1">
      <c r="A74" s="1" t="n"/>
      <c r="B74" s="33" t="n"/>
      <c r="C74" s="33" t="n"/>
      <c r="D74" s="33" t="n"/>
      <c r="E74" s="33" t="n"/>
      <c r="F74" s="42" t="n"/>
      <c r="G74" s="42" t="n"/>
      <c r="H74" s="42">
        <f>IF(F74&lt;&gt;"",F74-G74,"")</f>
        <v/>
      </c>
      <c r="I74" s="33" t="n"/>
      <c r="J74" s="33" t="n"/>
      <c r="K74" s="33" t="n"/>
      <c r="L74" s="1" t="n"/>
      <c r="M74" s="1" t="n"/>
    </row>
    <row r="75" ht="18" customHeight="1">
      <c r="A75" s="1" t="n"/>
      <c r="B75" s="39" t="n"/>
      <c r="C75" s="39" t="n"/>
      <c r="D75" s="39" t="n"/>
      <c r="E75" s="39" t="n"/>
      <c r="F75" s="40" t="n"/>
      <c r="G75" s="40" t="n"/>
      <c r="H75" s="40">
        <f>IF(F75&lt;&gt;"",F75-G75,"")</f>
        <v/>
      </c>
      <c r="I75" s="39" t="n"/>
      <c r="J75" s="39" t="n"/>
      <c r="K75" s="39" t="n"/>
      <c r="L75" s="1" t="n"/>
      <c r="M75" s="1" t="n"/>
    </row>
    <row r="76" ht="18" customHeight="1">
      <c r="A76" s="1" t="n"/>
      <c r="B76" s="33" t="n"/>
      <c r="C76" s="33" t="n"/>
      <c r="D76" s="33" t="n"/>
      <c r="E76" s="33" t="n"/>
      <c r="F76" s="42" t="n"/>
      <c r="G76" s="42" t="n"/>
      <c r="H76" s="42">
        <f>IF(F76&lt;&gt;"",F76-G76,"")</f>
        <v/>
      </c>
      <c r="I76" s="33" t="n"/>
      <c r="J76" s="33" t="n"/>
      <c r="K76" s="33" t="n"/>
      <c r="L76" s="1" t="n"/>
      <c r="M76" s="1" t="n"/>
    </row>
    <row r="77" ht="18" customHeight="1">
      <c r="A77" s="1" t="n"/>
      <c r="B77" s="39" t="n"/>
      <c r="C77" s="39" t="n"/>
      <c r="D77" s="39" t="n"/>
      <c r="E77" s="39" t="n"/>
      <c r="F77" s="40" t="n"/>
      <c r="G77" s="40" t="n"/>
      <c r="H77" s="40">
        <f>IF(F77&lt;&gt;"",F77-G77,"")</f>
        <v/>
      </c>
      <c r="I77" s="39" t="n"/>
      <c r="J77" s="39" t="n"/>
      <c r="K77" s="39" t="n"/>
      <c r="L77" s="1" t="n"/>
      <c r="M77" s="1" t="n"/>
    </row>
    <row r="78" ht="18" customHeight="1">
      <c r="A78" s="1" t="n"/>
      <c r="B78" s="33" t="n"/>
      <c r="C78" s="33" t="n"/>
      <c r="D78" s="33" t="n"/>
      <c r="E78" s="33" t="n"/>
      <c r="F78" s="42" t="n"/>
      <c r="G78" s="42" t="n"/>
      <c r="H78" s="42">
        <f>IF(F78&lt;&gt;"",F78-G78,"")</f>
        <v/>
      </c>
      <c r="I78" s="33" t="n"/>
      <c r="J78" s="33" t="n"/>
      <c r="K78" s="33" t="n"/>
      <c r="L78" s="1" t="n"/>
      <c r="M78" s="1" t="n"/>
    </row>
    <row r="79" ht="18" customHeight="1">
      <c r="A79" s="1" t="n"/>
      <c r="B79" s="39" t="n"/>
      <c r="C79" s="39" t="n"/>
      <c r="D79" s="39" t="n"/>
      <c r="E79" s="39" t="n"/>
      <c r="F79" s="40" t="n"/>
      <c r="G79" s="40" t="n"/>
      <c r="H79" s="40">
        <f>IF(F79&lt;&gt;"",F79-G79,"")</f>
        <v/>
      </c>
      <c r="I79" s="39" t="n"/>
      <c r="J79" s="39" t="n"/>
      <c r="K79" s="39" t="n"/>
      <c r="L79" s="1" t="n"/>
      <c r="M79" s="1" t="n"/>
    </row>
    <row r="80" ht="18" customHeight="1">
      <c r="A80" s="1" t="n"/>
      <c r="B80" s="33" t="n"/>
      <c r="C80" s="33" t="n"/>
      <c r="D80" s="33" t="n"/>
      <c r="E80" s="33" t="n"/>
      <c r="F80" s="42" t="n"/>
      <c r="G80" s="42" t="n"/>
      <c r="H80" s="42">
        <f>IF(F80&lt;&gt;"",F80-G80,"")</f>
        <v/>
      </c>
      <c r="I80" s="33" t="n"/>
      <c r="J80" s="33" t="n"/>
      <c r="K80" s="33" t="n"/>
      <c r="L80" s="1" t="n"/>
      <c r="M80" s="1" t="n"/>
    </row>
    <row r="81" ht="18" customHeight="1">
      <c r="A81" s="1" t="n"/>
      <c r="B81" s="39" t="n"/>
      <c r="C81" s="39" t="n"/>
      <c r="D81" s="39" t="n"/>
      <c r="E81" s="39" t="n"/>
      <c r="F81" s="40" t="n"/>
      <c r="G81" s="40" t="n"/>
      <c r="H81" s="40">
        <f>IF(F81&lt;&gt;"",F81-G81,"")</f>
        <v/>
      </c>
      <c r="I81" s="39" t="n"/>
      <c r="J81" s="39" t="n"/>
      <c r="K81" s="39" t="n"/>
      <c r="L81" s="1" t="n"/>
      <c r="M81" s="1" t="n"/>
    </row>
    <row r="82" ht="18" customHeight="1">
      <c r="A82" s="1" t="n"/>
      <c r="B82" s="33" t="n"/>
      <c r="C82" s="33" t="n"/>
      <c r="D82" s="33" t="n"/>
      <c r="E82" s="33" t="n"/>
      <c r="F82" s="42" t="n"/>
      <c r="G82" s="42" t="n"/>
      <c r="H82" s="42">
        <f>IF(F82&lt;&gt;"",F82-G82,"")</f>
        <v/>
      </c>
      <c r="I82" s="33" t="n"/>
      <c r="J82" s="33" t="n"/>
      <c r="K82" s="33" t="n"/>
      <c r="L82" s="1" t="n"/>
      <c r="M82" s="1" t="n"/>
    </row>
    <row r="83" ht="18" customHeight="1">
      <c r="A83" s="1" t="n"/>
      <c r="B83" s="39" t="n"/>
      <c r="C83" s="39" t="n"/>
      <c r="D83" s="39" t="n"/>
      <c r="E83" s="39" t="n"/>
      <c r="F83" s="40" t="n"/>
      <c r="G83" s="40" t="n"/>
      <c r="H83" s="40">
        <f>IF(F83&lt;&gt;"",F83-G83,"")</f>
        <v/>
      </c>
      <c r="I83" s="39" t="n"/>
      <c r="J83" s="39" t="n"/>
      <c r="K83" s="39" t="n"/>
      <c r="L83" s="1" t="n"/>
      <c r="M83" s="1" t="n"/>
    </row>
    <row r="84" ht="18" customHeight="1">
      <c r="A84" s="1" t="n"/>
      <c r="B84" s="33" t="n"/>
      <c r="C84" s="33" t="n"/>
      <c r="D84" s="33" t="n"/>
      <c r="E84" s="33" t="n"/>
      <c r="F84" s="42" t="n"/>
      <c r="G84" s="42" t="n"/>
      <c r="H84" s="42">
        <f>IF(F84&lt;&gt;"",F84-G84,"")</f>
        <v/>
      </c>
      <c r="I84" s="33" t="n"/>
      <c r="J84" s="33" t="n"/>
      <c r="K84" s="33" t="n"/>
      <c r="L84" s="1" t="n"/>
      <c r="M84" s="1" t="n"/>
    </row>
    <row r="85" ht="18" customHeight="1">
      <c r="A85" s="1" t="n"/>
      <c r="B85" s="39" t="n"/>
      <c r="C85" s="39" t="n"/>
      <c r="D85" s="39" t="n"/>
      <c r="E85" s="39" t="n"/>
      <c r="F85" s="40" t="n"/>
      <c r="G85" s="40" t="n"/>
      <c r="H85" s="40">
        <f>IF(F85&lt;&gt;"",F85-G85,"")</f>
        <v/>
      </c>
      <c r="I85" s="39" t="n"/>
      <c r="J85" s="39" t="n"/>
      <c r="K85" s="39" t="n"/>
      <c r="L85" s="1" t="n"/>
      <c r="M85" s="1" t="n"/>
    </row>
    <row r="86" ht="18" customHeight="1">
      <c r="A86" s="1" t="n"/>
      <c r="B86" s="33" t="n"/>
      <c r="C86" s="33" t="n"/>
      <c r="D86" s="33" t="n"/>
      <c r="E86" s="33" t="n"/>
      <c r="F86" s="42" t="n"/>
      <c r="G86" s="42" t="n"/>
      <c r="H86" s="42">
        <f>IF(F86&lt;&gt;"",F86-G86,"")</f>
        <v/>
      </c>
      <c r="I86" s="33" t="n"/>
      <c r="J86" s="33" t="n"/>
      <c r="K86" s="33" t="n"/>
      <c r="L86" s="1" t="n"/>
      <c r="M86" s="1" t="n"/>
    </row>
    <row r="87" ht="18" customHeight="1">
      <c r="A87" s="1" t="n"/>
      <c r="B87" s="39" t="n"/>
      <c r="C87" s="39" t="n"/>
      <c r="D87" s="39" t="n"/>
      <c r="E87" s="39" t="n"/>
      <c r="F87" s="40" t="n"/>
      <c r="G87" s="40" t="n"/>
      <c r="H87" s="40">
        <f>IF(F87&lt;&gt;"",F87-G87,"")</f>
        <v/>
      </c>
      <c r="I87" s="39" t="n"/>
      <c r="J87" s="39" t="n"/>
      <c r="K87" s="39" t="n"/>
      <c r="L87" s="1" t="n"/>
      <c r="M87" s="1" t="n"/>
    </row>
    <row r="88" ht="18" customHeight="1">
      <c r="A88" s="1" t="n"/>
      <c r="B88" s="33" t="n"/>
      <c r="C88" s="33" t="n"/>
      <c r="D88" s="33" t="n"/>
      <c r="E88" s="33" t="n"/>
      <c r="F88" s="42" t="n"/>
      <c r="G88" s="42" t="n"/>
      <c r="H88" s="42">
        <f>IF(F88&lt;&gt;"",F88-G88,"")</f>
        <v/>
      </c>
      <c r="I88" s="33" t="n"/>
      <c r="J88" s="33" t="n"/>
      <c r="K88" s="33" t="n"/>
      <c r="L88" s="1" t="n"/>
      <c r="M88" s="1" t="n"/>
    </row>
    <row r="89" ht="18" customHeight="1">
      <c r="A89" s="1" t="n"/>
      <c r="B89" s="39" t="n"/>
      <c r="C89" s="39" t="n"/>
      <c r="D89" s="39" t="n"/>
      <c r="E89" s="39" t="n"/>
      <c r="F89" s="40" t="n"/>
      <c r="G89" s="40" t="n"/>
      <c r="H89" s="40">
        <f>IF(F89&lt;&gt;"",F89-G89,"")</f>
        <v/>
      </c>
      <c r="I89" s="39" t="n"/>
      <c r="J89" s="39" t="n"/>
      <c r="K89" s="39" t="n"/>
      <c r="L89" s="1" t="n"/>
      <c r="M89" s="1" t="n"/>
    </row>
    <row r="90" ht="18" customHeight="1">
      <c r="A90" s="1" t="n"/>
      <c r="B90" s="33" t="n"/>
      <c r="C90" s="33" t="n"/>
      <c r="D90" s="33" t="n"/>
      <c r="E90" s="33" t="n"/>
      <c r="F90" s="42" t="n"/>
      <c r="G90" s="42" t="n"/>
      <c r="H90" s="42">
        <f>IF(F90&lt;&gt;"",F90-G90,"")</f>
        <v/>
      </c>
      <c r="I90" s="33" t="n"/>
      <c r="J90" s="33" t="n"/>
      <c r="K90" s="33" t="n"/>
      <c r="L90" s="1" t="n"/>
      <c r="M90" s="1" t="n"/>
    </row>
    <row r="91" ht="18" customHeight="1">
      <c r="A91" s="1" t="n"/>
      <c r="B91" s="39" t="n"/>
      <c r="C91" s="39" t="n"/>
      <c r="D91" s="39" t="n"/>
      <c r="E91" s="39" t="n"/>
      <c r="F91" s="40" t="n"/>
      <c r="G91" s="40" t="n"/>
      <c r="H91" s="40">
        <f>IF(F91&lt;&gt;"",F91-G91,"")</f>
        <v/>
      </c>
      <c r="I91" s="39" t="n"/>
      <c r="J91" s="39" t="n"/>
      <c r="K91" s="39" t="n"/>
      <c r="L91" s="1" t="n"/>
      <c r="M91" s="1" t="n"/>
    </row>
    <row r="92" ht="18" customHeight="1">
      <c r="A92" s="1" t="n"/>
      <c r="B92" s="33" t="n"/>
      <c r="C92" s="33" t="n"/>
      <c r="D92" s="33" t="n"/>
      <c r="E92" s="33" t="n"/>
      <c r="F92" s="42" t="n"/>
      <c r="G92" s="42" t="n"/>
      <c r="H92" s="42">
        <f>IF(F92&lt;&gt;"",F92-G92,"")</f>
        <v/>
      </c>
      <c r="I92" s="33" t="n"/>
      <c r="J92" s="33" t="n"/>
      <c r="K92" s="33" t="n"/>
      <c r="L92" s="1" t="n"/>
      <c r="M92" s="1" t="n"/>
    </row>
    <row r="93" ht="18" customHeight="1">
      <c r="A93" s="1" t="n"/>
      <c r="B93" s="39" t="n"/>
      <c r="C93" s="39" t="n"/>
      <c r="D93" s="39" t="n"/>
      <c r="E93" s="39" t="n"/>
      <c r="F93" s="40" t="n"/>
      <c r="G93" s="40" t="n"/>
      <c r="H93" s="40">
        <f>IF(F93&lt;&gt;"",F93-G93,"")</f>
        <v/>
      </c>
      <c r="I93" s="39" t="n"/>
      <c r="J93" s="39" t="n"/>
      <c r="K93" s="39" t="n"/>
      <c r="L93" s="1" t="n"/>
      <c r="M93" s="1" t="n"/>
    </row>
    <row r="94" ht="18" customHeight="1">
      <c r="A94" s="1" t="n"/>
      <c r="B94" s="33" t="n"/>
      <c r="C94" s="33" t="n"/>
      <c r="D94" s="33" t="n"/>
      <c r="E94" s="33" t="n"/>
      <c r="F94" s="42" t="n"/>
      <c r="G94" s="42" t="n"/>
      <c r="H94" s="42">
        <f>IF(F94&lt;&gt;"",F94-G94,"")</f>
        <v/>
      </c>
      <c r="I94" s="33" t="n"/>
      <c r="J94" s="33" t="n"/>
      <c r="K94" s="33" t="n"/>
      <c r="L94" s="1" t="n"/>
      <c r="M94" s="1" t="n"/>
    </row>
    <row r="95" ht="18" customHeight="1">
      <c r="A95" s="1" t="n"/>
      <c r="B95" s="39" t="n"/>
      <c r="C95" s="39" t="n"/>
      <c r="D95" s="39" t="n"/>
      <c r="E95" s="39" t="n"/>
      <c r="F95" s="40" t="n"/>
      <c r="G95" s="40" t="n"/>
      <c r="H95" s="40">
        <f>IF(F95&lt;&gt;"",F95-G95,"")</f>
        <v/>
      </c>
      <c r="I95" s="39" t="n"/>
      <c r="J95" s="39" t="n"/>
      <c r="K95" s="39" t="n"/>
      <c r="L95" s="1" t="n"/>
      <c r="M95" s="1" t="n"/>
    </row>
    <row r="96" ht="18" customHeight="1">
      <c r="A96" s="1" t="n"/>
      <c r="B96" s="33" t="n"/>
      <c r="C96" s="33" t="n"/>
      <c r="D96" s="33" t="n"/>
      <c r="E96" s="33" t="n"/>
      <c r="F96" s="42" t="n"/>
      <c r="G96" s="42" t="n"/>
      <c r="H96" s="42">
        <f>IF(F96&lt;&gt;"",F96-G96,"")</f>
        <v/>
      </c>
      <c r="I96" s="33" t="n"/>
      <c r="J96" s="33" t="n"/>
      <c r="K96" s="33" t="n"/>
      <c r="L96" s="1" t="n"/>
      <c r="M96" s="1" t="n"/>
    </row>
    <row r="97" ht="18" customHeight="1">
      <c r="A97" s="1" t="n"/>
      <c r="B97" s="39" t="n"/>
      <c r="C97" s="39" t="n"/>
      <c r="D97" s="39" t="n"/>
      <c r="E97" s="39" t="n"/>
      <c r="F97" s="40" t="n"/>
      <c r="G97" s="40" t="n"/>
      <c r="H97" s="40">
        <f>IF(F97&lt;&gt;"",F97-G97,"")</f>
        <v/>
      </c>
      <c r="I97" s="39" t="n"/>
      <c r="J97" s="39" t="n"/>
      <c r="K97" s="39" t="n"/>
      <c r="L97" s="1" t="n"/>
      <c r="M97" s="1" t="n"/>
    </row>
    <row r="98" ht="18" customHeight="1">
      <c r="A98" s="1" t="n"/>
      <c r="B98" s="33" t="n"/>
      <c r="C98" s="33" t="n"/>
      <c r="D98" s="33" t="n"/>
      <c r="E98" s="33" t="n"/>
      <c r="F98" s="42" t="n"/>
      <c r="G98" s="42" t="n"/>
      <c r="H98" s="42">
        <f>IF(F98&lt;&gt;"",F98-G98,"")</f>
        <v/>
      </c>
      <c r="I98" s="33" t="n"/>
      <c r="J98" s="33" t="n"/>
      <c r="K98" s="33" t="n"/>
      <c r="L98" s="1" t="n"/>
      <c r="M98" s="1" t="n"/>
    </row>
    <row r="99" ht="18" customHeight="1">
      <c r="A99" s="1" t="n"/>
      <c r="B99" s="39" t="n"/>
      <c r="C99" s="39" t="n"/>
      <c r="D99" s="39" t="n"/>
      <c r="E99" s="39" t="n"/>
      <c r="F99" s="40" t="n"/>
      <c r="G99" s="40" t="n"/>
      <c r="H99" s="40">
        <f>IF(F99&lt;&gt;"",F99-G99,"")</f>
        <v/>
      </c>
      <c r="I99" s="39" t="n"/>
      <c r="J99" s="39" t="n"/>
      <c r="K99" s="39" t="n"/>
      <c r="L99" s="1" t="n"/>
      <c r="M99" s="1" t="n"/>
    </row>
    <row r="100" ht="18" customHeight="1">
      <c r="A100" s="1" t="n"/>
      <c r="B100" s="33" t="n"/>
      <c r="C100" s="33" t="n"/>
      <c r="D100" s="33" t="n"/>
      <c r="E100" s="33" t="n"/>
      <c r="F100" s="42" t="n"/>
      <c r="G100" s="42" t="n"/>
      <c r="H100" s="42">
        <f>IF(F100&lt;&gt;"",F100-G100,"")</f>
        <v/>
      </c>
      <c r="I100" s="33" t="n"/>
      <c r="J100" s="33" t="n"/>
      <c r="K100" s="33" t="n"/>
      <c r="L100" s="1" t="n"/>
      <c r="M100" s="1" t="n"/>
    </row>
    <row r="101" ht="18" customHeight="1">
      <c r="A101" s="1" t="n"/>
      <c r="B101" s="39" t="n"/>
      <c r="C101" s="39" t="n"/>
      <c r="D101" s="39" t="n"/>
      <c r="E101" s="39" t="n"/>
      <c r="F101" s="40" t="n"/>
      <c r="G101" s="40" t="n"/>
      <c r="H101" s="40">
        <f>IF(F101&lt;&gt;"",F101-G101,"")</f>
        <v/>
      </c>
      <c r="I101" s="39" t="n"/>
      <c r="J101" s="39" t="n"/>
      <c r="K101" s="39" t="n"/>
      <c r="L101" s="1" t="n"/>
      <c r="M101" s="1" t="n"/>
    </row>
    <row r="102" ht="18" customHeight="1">
      <c r="A102" s="1" t="n"/>
      <c r="B102" s="33" t="n"/>
      <c r="C102" s="33" t="n"/>
      <c r="D102" s="33" t="n"/>
      <c r="E102" s="33" t="n"/>
      <c r="F102" s="42" t="n"/>
      <c r="G102" s="42" t="n"/>
      <c r="H102" s="42">
        <f>IF(F102&lt;&gt;"",F102-G102,"")</f>
        <v/>
      </c>
      <c r="I102" s="33" t="n"/>
      <c r="J102" s="33" t="n"/>
      <c r="K102" s="33" t="n"/>
      <c r="L102" s="1" t="n"/>
      <c r="M102" s="1" t="n"/>
    </row>
    <row r="103" ht="18" customHeight="1">
      <c r="A103" s="1" t="n"/>
      <c r="B103" s="39" t="n"/>
      <c r="C103" s="39" t="n"/>
      <c r="D103" s="39" t="n"/>
      <c r="E103" s="39" t="n"/>
      <c r="F103" s="40" t="n"/>
      <c r="G103" s="40" t="n"/>
      <c r="H103" s="40">
        <f>IF(F103&lt;&gt;"",F103-G103,"")</f>
        <v/>
      </c>
      <c r="I103" s="39" t="n"/>
      <c r="J103" s="39" t="n"/>
      <c r="K103" s="39" t="n"/>
      <c r="L103" s="1" t="n"/>
      <c r="M103" s="1" t="n"/>
    </row>
    <row r="104" ht="18" customHeight="1">
      <c r="A104" s="1" t="n"/>
      <c r="B104" s="33" t="n"/>
      <c r="C104" s="33" t="n"/>
      <c r="D104" s="33" t="n"/>
      <c r="E104" s="33" t="n"/>
      <c r="F104" s="42" t="n"/>
      <c r="G104" s="42" t="n"/>
      <c r="H104" s="42">
        <f>IF(F104&lt;&gt;"",F104-G104,"")</f>
        <v/>
      </c>
      <c r="I104" s="33" t="n"/>
      <c r="J104" s="33" t="n"/>
      <c r="K104" s="33" t="n"/>
      <c r="L104" s="1" t="n"/>
      <c r="M104" s="1" t="n"/>
    </row>
    <row r="105" ht="18" customHeight="1">
      <c r="A105" s="1" t="n"/>
      <c r="B105" s="39" t="n"/>
      <c r="C105" s="39" t="n"/>
      <c r="D105" s="39" t="n"/>
      <c r="E105" s="39" t="n"/>
      <c r="F105" s="40" t="n"/>
      <c r="G105" s="40" t="n"/>
      <c r="H105" s="40">
        <f>IF(F105&lt;&gt;"",F105-G105,"")</f>
        <v/>
      </c>
      <c r="I105" s="39" t="n"/>
      <c r="J105" s="39" t="n"/>
      <c r="K105" s="39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</sheetData>
  <mergeCells count="9">
    <mergeCell ref="B2:M2"/>
    <mergeCell ref="B3:D3"/>
    <mergeCell ref="K4:M4"/>
    <mergeCell ref="B4:D4"/>
    <mergeCell ref="H4:J4"/>
    <mergeCell ref="E4:G4"/>
    <mergeCell ref="E3:G3"/>
    <mergeCell ref="K3:M3"/>
    <mergeCell ref="H3:J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M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5" customHeight="1">
      <c r="A2" s="1" t="n"/>
      <c r="B2" s="37" t="inlineStr">
        <is>
          <t>🌿  CONTROLE DE CICATRIZAÇÃO E RETORNO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2" customHeight="1">
      <c r="A4" s="1" t="n"/>
      <c r="B4" s="38" t="inlineStr">
        <is>
          <t>CLIENTE</t>
        </is>
      </c>
      <c r="C4" s="38" t="inlineStr">
        <is>
          <t>TELEFONE</t>
        </is>
      </c>
      <c r="D4" s="38" t="inlineStr">
        <is>
          <t>DATA SESSÃO</t>
        </is>
      </c>
      <c r="E4" s="38" t="inlineStr">
        <is>
          <t>ESTILO</t>
        </is>
      </c>
      <c r="F4" s="38" t="inlineStr">
        <is>
          <t>REGIÃO</t>
        </is>
      </c>
      <c r="G4" s="38" t="inlineStr">
        <is>
          <t>RETORNO (30d)</t>
        </is>
      </c>
      <c r="H4" s="38" t="inlineStr">
        <is>
          <t>CICATRIZAÇÃO</t>
        </is>
      </c>
      <c r="I4" s="38" t="inlineStr">
        <is>
          <t>RETOQUE GRÁTIS?</t>
        </is>
      </c>
      <c r="J4" s="38" t="inlineStr">
        <is>
          <t>DATA RETOQUE</t>
        </is>
      </c>
      <c r="K4" s="38" t="inlineStr">
        <is>
          <t>AVALIAÇÃO</t>
        </is>
      </c>
      <c r="L4" s="38" t="inlineStr">
        <is>
          <t>OBS</t>
        </is>
      </c>
      <c r="M4" s="1" t="n"/>
    </row>
    <row r="5" ht="18" customHeight="1">
      <c r="A5" s="1" t="n"/>
      <c r="B5" s="39" t="n"/>
      <c r="C5" s="39" t="n"/>
      <c r="D5" s="39" t="n"/>
      <c r="E5" s="39" t="n"/>
      <c r="F5" s="39" t="n"/>
      <c r="G5" s="101">
        <f>IF(D5&lt;&gt;"",D5+30,"")</f>
        <v/>
      </c>
      <c r="H5" s="39">
        <f>IF(G5="","",IF(TODAY()&gt;G5+15,"✅ Cicatrizou","⏳ Em processo"))</f>
        <v/>
      </c>
      <c r="I5" s="39" t="n"/>
      <c r="J5" s="39" t="n"/>
      <c r="K5" s="39" t="n"/>
      <c r="L5" s="39" t="n"/>
      <c r="M5" s="1" t="n"/>
    </row>
    <row r="6" ht="18" customHeight="1">
      <c r="A6" s="1" t="n"/>
      <c r="B6" s="33" t="n"/>
      <c r="C6" s="33" t="n"/>
      <c r="D6" s="33" t="n"/>
      <c r="E6" s="33" t="n"/>
      <c r="F6" s="33" t="n"/>
      <c r="G6" s="102">
        <f>IF(D6&lt;&gt;"",D6+30,"")</f>
        <v/>
      </c>
      <c r="H6" s="33">
        <f>IF(G6="","",IF(TODAY()&gt;G6+15,"✅ Cicatrizou","⏳ Em processo"))</f>
        <v/>
      </c>
      <c r="I6" s="33" t="n"/>
      <c r="J6" s="33" t="n"/>
      <c r="K6" s="33" t="n"/>
      <c r="L6" s="33" t="n"/>
      <c r="M6" s="1" t="n"/>
    </row>
    <row r="7" ht="18" customHeight="1">
      <c r="A7" s="1" t="n"/>
      <c r="B7" s="39" t="n"/>
      <c r="C7" s="39" t="n"/>
      <c r="D7" s="39" t="n"/>
      <c r="E7" s="39" t="n"/>
      <c r="F7" s="39" t="n"/>
      <c r="G7" s="101">
        <f>IF(D7&lt;&gt;"",D7+30,"")</f>
        <v/>
      </c>
      <c r="H7" s="39">
        <f>IF(G7="","",IF(TODAY()&gt;G7+15,"✅ Cicatrizou","⏳ Em processo"))</f>
        <v/>
      </c>
      <c r="I7" s="39" t="n"/>
      <c r="J7" s="39" t="n"/>
      <c r="K7" s="39" t="n"/>
      <c r="L7" s="39" t="n"/>
      <c r="M7" s="1" t="n"/>
    </row>
    <row r="8" ht="18" customHeight="1">
      <c r="A8" s="1" t="n"/>
      <c r="B8" s="33" t="n"/>
      <c r="C8" s="33" t="n"/>
      <c r="D8" s="33" t="n"/>
      <c r="E8" s="33" t="n"/>
      <c r="F8" s="33" t="n"/>
      <c r="G8" s="102">
        <f>IF(D8&lt;&gt;"",D8+30,"")</f>
        <v/>
      </c>
      <c r="H8" s="33">
        <f>IF(G8="","",IF(TODAY()&gt;G8+15,"✅ Cicatrizou","⏳ Em processo"))</f>
        <v/>
      </c>
      <c r="I8" s="33" t="n"/>
      <c r="J8" s="33" t="n"/>
      <c r="K8" s="33" t="n"/>
      <c r="L8" s="33" t="n"/>
      <c r="M8" s="1" t="n"/>
    </row>
    <row r="9" ht="18" customHeight="1">
      <c r="A9" s="1" t="n"/>
      <c r="B9" s="39" t="n"/>
      <c r="C9" s="39" t="n"/>
      <c r="D9" s="39" t="n"/>
      <c r="E9" s="39" t="n"/>
      <c r="F9" s="39" t="n"/>
      <c r="G9" s="101">
        <f>IF(D9&lt;&gt;"",D9+30,"")</f>
        <v/>
      </c>
      <c r="H9" s="39">
        <f>IF(G9="","",IF(TODAY()&gt;G9+15,"✅ Cicatrizou","⏳ Em processo"))</f>
        <v/>
      </c>
      <c r="I9" s="39" t="n"/>
      <c r="J9" s="39" t="n"/>
      <c r="K9" s="39" t="n"/>
      <c r="L9" s="39" t="n"/>
      <c r="M9" s="1" t="n"/>
    </row>
    <row r="10" ht="18" customHeight="1">
      <c r="A10" s="1" t="n"/>
      <c r="B10" s="33" t="n"/>
      <c r="C10" s="33" t="n"/>
      <c r="D10" s="33" t="n"/>
      <c r="E10" s="33" t="n"/>
      <c r="F10" s="33" t="n"/>
      <c r="G10" s="102">
        <f>IF(D10&lt;&gt;"",D10+30,"")</f>
        <v/>
      </c>
      <c r="H10" s="33">
        <f>IF(G10="","",IF(TODAY()&gt;G10+15,"✅ Cicatrizou","⏳ Em processo"))</f>
        <v/>
      </c>
      <c r="I10" s="33" t="n"/>
      <c r="J10" s="33" t="n"/>
      <c r="K10" s="33" t="n"/>
      <c r="L10" s="33" t="n"/>
      <c r="M10" s="1" t="n"/>
    </row>
    <row r="11" ht="18" customHeight="1">
      <c r="A11" s="1" t="n"/>
      <c r="B11" s="39" t="n"/>
      <c r="C11" s="39" t="n"/>
      <c r="D11" s="39" t="n"/>
      <c r="E11" s="39" t="n"/>
      <c r="F11" s="39" t="n"/>
      <c r="G11" s="101">
        <f>IF(D11&lt;&gt;"",D11+30,"")</f>
        <v/>
      </c>
      <c r="H11" s="39">
        <f>IF(G11="","",IF(TODAY()&gt;G11+15,"✅ Cicatrizou","⏳ Em processo"))</f>
        <v/>
      </c>
      <c r="I11" s="39" t="n"/>
      <c r="J11" s="39" t="n"/>
      <c r="K11" s="39" t="n"/>
      <c r="L11" s="39" t="n"/>
      <c r="M11" s="1" t="n"/>
    </row>
    <row r="12" ht="18" customHeight="1">
      <c r="A12" s="1" t="n"/>
      <c r="B12" s="33" t="n"/>
      <c r="C12" s="33" t="n"/>
      <c r="D12" s="33" t="n"/>
      <c r="E12" s="33" t="n"/>
      <c r="F12" s="33" t="n"/>
      <c r="G12" s="102">
        <f>IF(D12&lt;&gt;"",D12+30,"")</f>
        <v/>
      </c>
      <c r="H12" s="33">
        <f>IF(G12="","",IF(TODAY()&gt;G12+15,"✅ Cicatrizou","⏳ Em processo"))</f>
        <v/>
      </c>
      <c r="I12" s="33" t="n"/>
      <c r="J12" s="33" t="n"/>
      <c r="K12" s="33" t="n"/>
      <c r="L12" s="33" t="n"/>
      <c r="M12" s="1" t="n"/>
    </row>
    <row r="13" ht="18" customHeight="1">
      <c r="A13" s="1" t="n"/>
      <c r="B13" s="39" t="n"/>
      <c r="C13" s="39" t="n"/>
      <c r="D13" s="39" t="n"/>
      <c r="E13" s="39" t="n"/>
      <c r="F13" s="39" t="n"/>
      <c r="G13" s="101">
        <f>IF(D13&lt;&gt;"",D13+30,"")</f>
        <v/>
      </c>
      <c r="H13" s="39">
        <f>IF(G13="","",IF(TODAY()&gt;G13+15,"✅ Cicatrizou","⏳ Em processo"))</f>
        <v/>
      </c>
      <c r="I13" s="39" t="n"/>
      <c r="J13" s="39" t="n"/>
      <c r="K13" s="39" t="n"/>
      <c r="L13" s="39" t="n"/>
      <c r="M13" s="1" t="n"/>
    </row>
    <row r="14" ht="18" customHeight="1">
      <c r="A14" s="1" t="n"/>
      <c r="B14" s="33" t="n"/>
      <c r="C14" s="33" t="n"/>
      <c r="D14" s="33" t="n"/>
      <c r="E14" s="33" t="n"/>
      <c r="F14" s="33" t="n"/>
      <c r="G14" s="102">
        <f>IF(D14&lt;&gt;"",D14+30,"")</f>
        <v/>
      </c>
      <c r="H14" s="33">
        <f>IF(G14="","",IF(TODAY()&gt;G14+15,"✅ Cicatrizou","⏳ Em processo"))</f>
        <v/>
      </c>
      <c r="I14" s="33" t="n"/>
      <c r="J14" s="33" t="n"/>
      <c r="K14" s="33" t="n"/>
      <c r="L14" s="33" t="n"/>
      <c r="M14" s="1" t="n"/>
    </row>
    <row r="15" ht="18" customHeight="1">
      <c r="A15" s="1" t="n"/>
      <c r="B15" s="39" t="n"/>
      <c r="C15" s="39" t="n"/>
      <c r="D15" s="39" t="n"/>
      <c r="E15" s="39" t="n"/>
      <c r="F15" s="39" t="n"/>
      <c r="G15" s="101">
        <f>IF(D15&lt;&gt;"",D15+30,"")</f>
        <v/>
      </c>
      <c r="H15" s="39">
        <f>IF(G15="","",IF(TODAY()&gt;G15+15,"✅ Cicatrizou","⏳ Em processo"))</f>
        <v/>
      </c>
      <c r="I15" s="39" t="n"/>
      <c r="J15" s="39" t="n"/>
      <c r="K15" s="39" t="n"/>
      <c r="L15" s="39" t="n"/>
      <c r="M15" s="1" t="n"/>
    </row>
    <row r="16" ht="18" customHeight="1">
      <c r="A16" s="1" t="n"/>
      <c r="B16" s="33" t="n"/>
      <c r="C16" s="33" t="n"/>
      <c r="D16" s="33" t="n"/>
      <c r="E16" s="33" t="n"/>
      <c r="F16" s="33" t="n"/>
      <c r="G16" s="102">
        <f>IF(D16&lt;&gt;"",D16+30,"")</f>
        <v/>
      </c>
      <c r="H16" s="33">
        <f>IF(G16="","",IF(TODAY()&gt;G16+15,"✅ Cicatrizou","⏳ Em processo"))</f>
        <v/>
      </c>
      <c r="I16" s="33" t="n"/>
      <c r="J16" s="33" t="n"/>
      <c r="K16" s="33" t="n"/>
      <c r="L16" s="33" t="n"/>
      <c r="M16" s="1" t="n"/>
    </row>
    <row r="17" ht="18" customHeight="1">
      <c r="A17" s="1" t="n"/>
      <c r="B17" s="39" t="n"/>
      <c r="C17" s="39" t="n"/>
      <c r="D17" s="39" t="n"/>
      <c r="E17" s="39" t="n"/>
      <c r="F17" s="39" t="n"/>
      <c r="G17" s="101">
        <f>IF(D17&lt;&gt;"",D17+30,"")</f>
        <v/>
      </c>
      <c r="H17" s="39">
        <f>IF(G17="","",IF(TODAY()&gt;G17+15,"✅ Cicatrizou","⏳ Em processo"))</f>
        <v/>
      </c>
      <c r="I17" s="39" t="n"/>
      <c r="J17" s="39" t="n"/>
      <c r="K17" s="39" t="n"/>
      <c r="L17" s="39" t="n"/>
      <c r="M17" s="1" t="n"/>
    </row>
    <row r="18" ht="18" customHeight="1">
      <c r="A18" s="1" t="n"/>
      <c r="B18" s="33" t="n"/>
      <c r="C18" s="33" t="n"/>
      <c r="D18" s="33" t="n"/>
      <c r="E18" s="33" t="n"/>
      <c r="F18" s="33" t="n"/>
      <c r="G18" s="102">
        <f>IF(D18&lt;&gt;"",D18+30,"")</f>
        <v/>
      </c>
      <c r="H18" s="33">
        <f>IF(G18="","",IF(TODAY()&gt;G18+15,"✅ Cicatrizou","⏳ Em processo"))</f>
        <v/>
      </c>
      <c r="I18" s="33" t="n"/>
      <c r="J18" s="33" t="n"/>
      <c r="K18" s="33" t="n"/>
      <c r="L18" s="33" t="n"/>
      <c r="M18" s="1" t="n"/>
    </row>
    <row r="19" ht="18" customHeight="1">
      <c r="A19" s="1" t="n"/>
      <c r="B19" s="39" t="n"/>
      <c r="C19" s="39" t="n"/>
      <c r="D19" s="39" t="n"/>
      <c r="E19" s="39" t="n"/>
      <c r="F19" s="39" t="n"/>
      <c r="G19" s="101">
        <f>IF(D19&lt;&gt;"",D19+30,"")</f>
        <v/>
      </c>
      <c r="H19" s="39">
        <f>IF(G19="","",IF(TODAY()&gt;G19+15,"✅ Cicatrizou","⏳ Em processo"))</f>
        <v/>
      </c>
      <c r="I19" s="39" t="n"/>
      <c r="J19" s="39" t="n"/>
      <c r="K19" s="39" t="n"/>
      <c r="L19" s="39" t="n"/>
      <c r="M19" s="1" t="n"/>
    </row>
    <row r="20" ht="18" customHeight="1">
      <c r="A20" s="1" t="n"/>
      <c r="B20" s="33" t="n"/>
      <c r="C20" s="33" t="n"/>
      <c r="D20" s="33" t="n"/>
      <c r="E20" s="33" t="n"/>
      <c r="F20" s="33" t="n"/>
      <c r="G20" s="102">
        <f>IF(D20&lt;&gt;"",D20+30,"")</f>
        <v/>
      </c>
      <c r="H20" s="33">
        <f>IF(G20="","",IF(TODAY()&gt;G20+15,"✅ Cicatrizou","⏳ Em processo"))</f>
        <v/>
      </c>
      <c r="I20" s="33" t="n"/>
      <c r="J20" s="33" t="n"/>
      <c r="K20" s="33" t="n"/>
      <c r="L20" s="33" t="n"/>
      <c r="M20" s="1" t="n"/>
    </row>
    <row r="21" ht="18" customHeight="1">
      <c r="A21" s="1" t="n"/>
      <c r="B21" s="39" t="n"/>
      <c r="C21" s="39" t="n"/>
      <c r="D21" s="39" t="n"/>
      <c r="E21" s="39" t="n"/>
      <c r="F21" s="39" t="n"/>
      <c r="G21" s="101">
        <f>IF(D21&lt;&gt;"",D21+30,"")</f>
        <v/>
      </c>
      <c r="H21" s="39">
        <f>IF(G21="","",IF(TODAY()&gt;G21+15,"✅ Cicatrizou","⏳ Em processo"))</f>
        <v/>
      </c>
      <c r="I21" s="39" t="n"/>
      <c r="J21" s="39" t="n"/>
      <c r="K21" s="39" t="n"/>
      <c r="L21" s="39" t="n"/>
      <c r="M21" s="1" t="n"/>
    </row>
    <row r="22" ht="18" customHeight="1">
      <c r="A22" s="1" t="n"/>
      <c r="B22" s="33" t="n"/>
      <c r="C22" s="33" t="n"/>
      <c r="D22" s="33" t="n"/>
      <c r="E22" s="33" t="n"/>
      <c r="F22" s="33" t="n"/>
      <c r="G22" s="102">
        <f>IF(D22&lt;&gt;"",D22+30,"")</f>
        <v/>
      </c>
      <c r="H22" s="33">
        <f>IF(G22="","",IF(TODAY()&gt;G22+15,"✅ Cicatrizou","⏳ Em processo"))</f>
        <v/>
      </c>
      <c r="I22" s="33" t="n"/>
      <c r="J22" s="33" t="n"/>
      <c r="K22" s="33" t="n"/>
      <c r="L22" s="33" t="n"/>
      <c r="M22" s="1" t="n"/>
    </row>
    <row r="23" ht="18" customHeight="1">
      <c r="A23" s="1" t="n"/>
      <c r="B23" s="39" t="n"/>
      <c r="C23" s="39" t="n"/>
      <c r="D23" s="39" t="n"/>
      <c r="E23" s="39" t="n"/>
      <c r="F23" s="39" t="n"/>
      <c r="G23" s="101">
        <f>IF(D23&lt;&gt;"",D23+30,"")</f>
        <v/>
      </c>
      <c r="H23" s="39">
        <f>IF(G23="","",IF(TODAY()&gt;G23+15,"✅ Cicatrizou","⏳ Em processo"))</f>
        <v/>
      </c>
      <c r="I23" s="39" t="n"/>
      <c r="J23" s="39" t="n"/>
      <c r="K23" s="39" t="n"/>
      <c r="L23" s="39" t="n"/>
      <c r="M23" s="1" t="n"/>
    </row>
    <row r="24" ht="18" customHeight="1">
      <c r="A24" s="1" t="n"/>
      <c r="B24" s="33" t="n"/>
      <c r="C24" s="33" t="n"/>
      <c r="D24" s="33" t="n"/>
      <c r="E24" s="33" t="n"/>
      <c r="F24" s="33" t="n"/>
      <c r="G24" s="102">
        <f>IF(D24&lt;&gt;"",D24+30,"")</f>
        <v/>
      </c>
      <c r="H24" s="33">
        <f>IF(G24="","",IF(TODAY()&gt;G24+15,"✅ Cicatrizou","⏳ Em processo"))</f>
        <v/>
      </c>
      <c r="I24" s="33" t="n"/>
      <c r="J24" s="33" t="n"/>
      <c r="K24" s="33" t="n"/>
      <c r="L24" s="33" t="n"/>
      <c r="M24" s="1" t="n"/>
    </row>
    <row r="25" ht="18" customHeight="1">
      <c r="A25" s="1" t="n"/>
      <c r="B25" s="39" t="n"/>
      <c r="C25" s="39" t="n"/>
      <c r="D25" s="39" t="n"/>
      <c r="E25" s="39" t="n"/>
      <c r="F25" s="39" t="n"/>
      <c r="G25" s="101">
        <f>IF(D25&lt;&gt;"",D25+30,"")</f>
        <v/>
      </c>
      <c r="H25" s="39">
        <f>IF(G25="","",IF(TODAY()&gt;G25+15,"✅ Cicatrizou","⏳ Em processo"))</f>
        <v/>
      </c>
      <c r="I25" s="39" t="n"/>
      <c r="J25" s="39" t="n"/>
      <c r="K25" s="39" t="n"/>
      <c r="L25" s="39" t="n"/>
      <c r="M25" s="1" t="n"/>
    </row>
    <row r="26" ht="18" customHeight="1">
      <c r="A26" s="1" t="n"/>
      <c r="B26" s="33" t="n"/>
      <c r="C26" s="33" t="n"/>
      <c r="D26" s="33" t="n"/>
      <c r="E26" s="33" t="n"/>
      <c r="F26" s="33" t="n"/>
      <c r="G26" s="102">
        <f>IF(D26&lt;&gt;"",D26+30,"")</f>
        <v/>
      </c>
      <c r="H26" s="33">
        <f>IF(G26="","",IF(TODAY()&gt;G26+15,"✅ Cicatrizou","⏳ Em processo"))</f>
        <v/>
      </c>
      <c r="I26" s="33" t="n"/>
      <c r="J26" s="33" t="n"/>
      <c r="K26" s="33" t="n"/>
      <c r="L26" s="33" t="n"/>
      <c r="M26" s="1" t="n"/>
    </row>
    <row r="27" ht="18" customHeight="1">
      <c r="A27" s="1" t="n"/>
      <c r="B27" s="39" t="n"/>
      <c r="C27" s="39" t="n"/>
      <c r="D27" s="39" t="n"/>
      <c r="E27" s="39" t="n"/>
      <c r="F27" s="39" t="n"/>
      <c r="G27" s="101">
        <f>IF(D27&lt;&gt;"",D27+30,"")</f>
        <v/>
      </c>
      <c r="H27" s="39">
        <f>IF(G27="","",IF(TODAY()&gt;G27+15,"✅ Cicatrizou","⏳ Em processo"))</f>
        <v/>
      </c>
      <c r="I27" s="39" t="n"/>
      <c r="J27" s="39" t="n"/>
      <c r="K27" s="39" t="n"/>
      <c r="L27" s="39" t="n"/>
      <c r="M27" s="1" t="n"/>
    </row>
    <row r="28" ht="18" customHeight="1">
      <c r="A28" s="1" t="n"/>
      <c r="B28" s="33" t="n"/>
      <c r="C28" s="33" t="n"/>
      <c r="D28" s="33" t="n"/>
      <c r="E28" s="33" t="n"/>
      <c r="F28" s="33" t="n"/>
      <c r="G28" s="102">
        <f>IF(D28&lt;&gt;"",D28+30,"")</f>
        <v/>
      </c>
      <c r="H28" s="33">
        <f>IF(G28="","",IF(TODAY()&gt;G28+15,"✅ Cicatrizou","⏳ Em processo"))</f>
        <v/>
      </c>
      <c r="I28" s="33" t="n"/>
      <c r="J28" s="33" t="n"/>
      <c r="K28" s="33" t="n"/>
      <c r="L28" s="33" t="n"/>
      <c r="M28" s="1" t="n"/>
    </row>
    <row r="29" ht="18" customHeight="1">
      <c r="A29" s="1" t="n"/>
      <c r="B29" s="39" t="n"/>
      <c r="C29" s="39" t="n"/>
      <c r="D29" s="39" t="n"/>
      <c r="E29" s="39" t="n"/>
      <c r="F29" s="39" t="n"/>
      <c r="G29" s="101">
        <f>IF(D29&lt;&gt;"",D29+30,"")</f>
        <v/>
      </c>
      <c r="H29" s="39">
        <f>IF(G29="","",IF(TODAY()&gt;G29+15,"✅ Cicatrizou","⏳ Em processo"))</f>
        <v/>
      </c>
      <c r="I29" s="39" t="n"/>
      <c r="J29" s="39" t="n"/>
      <c r="K29" s="39" t="n"/>
      <c r="L29" s="39" t="n"/>
      <c r="M29" s="1" t="n"/>
    </row>
    <row r="30" ht="18" customHeight="1">
      <c r="A30" s="1" t="n"/>
      <c r="B30" s="33" t="n"/>
      <c r="C30" s="33" t="n"/>
      <c r="D30" s="33" t="n"/>
      <c r="E30" s="33" t="n"/>
      <c r="F30" s="33" t="n"/>
      <c r="G30" s="102">
        <f>IF(D30&lt;&gt;"",D30+30,"")</f>
        <v/>
      </c>
      <c r="H30" s="33">
        <f>IF(G30="","",IF(TODAY()&gt;G30+15,"✅ Cicatrizou","⏳ Em processo"))</f>
        <v/>
      </c>
      <c r="I30" s="33" t="n"/>
      <c r="J30" s="33" t="n"/>
      <c r="K30" s="33" t="n"/>
      <c r="L30" s="33" t="n"/>
      <c r="M30" s="1" t="n"/>
    </row>
    <row r="31" ht="18" customHeight="1">
      <c r="A31" s="1" t="n"/>
      <c r="B31" s="39" t="n"/>
      <c r="C31" s="39" t="n"/>
      <c r="D31" s="39" t="n"/>
      <c r="E31" s="39" t="n"/>
      <c r="F31" s="39" t="n"/>
      <c r="G31" s="101">
        <f>IF(D31&lt;&gt;"",D31+30,"")</f>
        <v/>
      </c>
      <c r="H31" s="39">
        <f>IF(G31="","",IF(TODAY()&gt;G31+15,"✅ Cicatrizou","⏳ Em processo"))</f>
        <v/>
      </c>
      <c r="I31" s="39" t="n"/>
      <c r="J31" s="39" t="n"/>
      <c r="K31" s="39" t="n"/>
      <c r="L31" s="39" t="n"/>
      <c r="M31" s="1" t="n"/>
    </row>
    <row r="32" ht="18" customHeight="1">
      <c r="A32" s="1" t="n"/>
      <c r="B32" s="33" t="n"/>
      <c r="C32" s="33" t="n"/>
      <c r="D32" s="33" t="n"/>
      <c r="E32" s="33" t="n"/>
      <c r="F32" s="33" t="n"/>
      <c r="G32" s="102">
        <f>IF(D32&lt;&gt;"",D32+30,"")</f>
        <v/>
      </c>
      <c r="H32" s="33">
        <f>IF(G32="","",IF(TODAY()&gt;G32+15,"✅ Cicatrizou","⏳ Em processo"))</f>
        <v/>
      </c>
      <c r="I32" s="33" t="n"/>
      <c r="J32" s="33" t="n"/>
      <c r="K32" s="33" t="n"/>
      <c r="L32" s="33" t="n"/>
      <c r="M32" s="1" t="n"/>
    </row>
    <row r="33" ht="18" customHeight="1">
      <c r="A33" s="1" t="n"/>
      <c r="B33" s="39" t="n"/>
      <c r="C33" s="39" t="n"/>
      <c r="D33" s="39" t="n"/>
      <c r="E33" s="39" t="n"/>
      <c r="F33" s="39" t="n"/>
      <c r="G33" s="101">
        <f>IF(D33&lt;&gt;"",D33+30,"")</f>
        <v/>
      </c>
      <c r="H33" s="39">
        <f>IF(G33="","",IF(TODAY()&gt;G33+15,"✅ Cicatrizou","⏳ Em processo"))</f>
        <v/>
      </c>
      <c r="I33" s="39" t="n"/>
      <c r="J33" s="39" t="n"/>
      <c r="K33" s="39" t="n"/>
      <c r="L33" s="39" t="n"/>
      <c r="M33" s="1" t="n"/>
    </row>
    <row r="34" ht="18" customHeight="1">
      <c r="A34" s="1" t="n"/>
      <c r="B34" s="33" t="n"/>
      <c r="C34" s="33" t="n"/>
      <c r="D34" s="33" t="n"/>
      <c r="E34" s="33" t="n"/>
      <c r="F34" s="33" t="n"/>
      <c r="G34" s="102">
        <f>IF(D34&lt;&gt;"",D34+30,"")</f>
        <v/>
      </c>
      <c r="H34" s="33">
        <f>IF(G34="","",IF(TODAY()&gt;G34+15,"✅ Cicatrizou","⏳ Em processo"))</f>
        <v/>
      </c>
      <c r="I34" s="33" t="n"/>
      <c r="J34" s="33" t="n"/>
      <c r="K34" s="33" t="n"/>
      <c r="L34" s="33" t="n"/>
      <c r="M34" s="1" t="n"/>
    </row>
    <row r="35" ht="18" customHeight="1">
      <c r="A35" s="1" t="n"/>
      <c r="B35" s="39" t="n"/>
      <c r="C35" s="39" t="n"/>
      <c r="D35" s="39" t="n"/>
      <c r="E35" s="39" t="n"/>
      <c r="F35" s="39" t="n"/>
      <c r="G35" s="101">
        <f>IF(D35&lt;&gt;"",D35+30,"")</f>
        <v/>
      </c>
      <c r="H35" s="39">
        <f>IF(G35="","",IF(TODAY()&gt;G35+15,"✅ Cicatrizou","⏳ Em processo"))</f>
        <v/>
      </c>
      <c r="I35" s="39" t="n"/>
      <c r="J35" s="39" t="n"/>
      <c r="K35" s="39" t="n"/>
      <c r="L35" s="39" t="n"/>
      <c r="M35" s="1" t="n"/>
    </row>
    <row r="36" ht="18" customHeight="1">
      <c r="A36" s="1" t="n"/>
      <c r="B36" s="33" t="n"/>
      <c r="C36" s="33" t="n"/>
      <c r="D36" s="33" t="n"/>
      <c r="E36" s="33" t="n"/>
      <c r="F36" s="33" t="n"/>
      <c r="G36" s="102">
        <f>IF(D36&lt;&gt;"",D36+30,"")</f>
        <v/>
      </c>
      <c r="H36" s="33">
        <f>IF(G36="","",IF(TODAY()&gt;G36+15,"✅ Cicatrizou","⏳ Em processo"))</f>
        <v/>
      </c>
      <c r="I36" s="33" t="n"/>
      <c r="J36" s="33" t="n"/>
      <c r="K36" s="33" t="n"/>
      <c r="L36" s="33" t="n"/>
      <c r="M36" s="1" t="n"/>
    </row>
    <row r="37" ht="18" customHeight="1">
      <c r="A37" s="1" t="n"/>
      <c r="B37" s="39" t="n"/>
      <c r="C37" s="39" t="n"/>
      <c r="D37" s="39" t="n"/>
      <c r="E37" s="39" t="n"/>
      <c r="F37" s="39" t="n"/>
      <c r="G37" s="101">
        <f>IF(D37&lt;&gt;"",D37+30,"")</f>
        <v/>
      </c>
      <c r="H37" s="39">
        <f>IF(G37="","",IF(TODAY()&gt;G37+15,"✅ Cicatrizou","⏳ Em processo"))</f>
        <v/>
      </c>
      <c r="I37" s="39" t="n"/>
      <c r="J37" s="39" t="n"/>
      <c r="K37" s="39" t="n"/>
      <c r="L37" s="39" t="n"/>
      <c r="M37" s="1" t="n"/>
    </row>
    <row r="38" ht="18" customHeight="1">
      <c r="A38" s="1" t="n"/>
      <c r="B38" s="33" t="n"/>
      <c r="C38" s="33" t="n"/>
      <c r="D38" s="33" t="n"/>
      <c r="E38" s="33" t="n"/>
      <c r="F38" s="33" t="n"/>
      <c r="G38" s="102">
        <f>IF(D38&lt;&gt;"",D38+30,"")</f>
        <v/>
      </c>
      <c r="H38" s="33">
        <f>IF(G38="","",IF(TODAY()&gt;G38+15,"✅ Cicatrizou","⏳ Em processo"))</f>
        <v/>
      </c>
      <c r="I38" s="33" t="n"/>
      <c r="J38" s="33" t="n"/>
      <c r="K38" s="33" t="n"/>
      <c r="L38" s="33" t="n"/>
      <c r="M38" s="1" t="n"/>
    </row>
    <row r="39" ht="18" customHeight="1">
      <c r="A39" s="1" t="n"/>
      <c r="B39" s="39" t="n"/>
      <c r="C39" s="39" t="n"/>
      <c r="D39" s="39" t="n"/>
      <c r="E39" s="39" t="n"/>
      <c r="F39" s="39" t="n"/>
      <c r="G39" s="101">
        <f>IF(D39&lt;&gt;"",D39+30,"")</f>
        <v/>
      </c>
      <c r="H39" s="39">
        <f>IF(G39="","",IF(TODAY()&gt;G39+15,"✅ Cicatrizou","⏳ Em processo"))</f>
        <v/>
      </c>
      <c r="I39" s="39" t="n"/>
      <c r="J39" s="39" t="n"/>
      <c r="K39" s="39" t="n"/>
      <c r="L39" s="39" t="n"/>
      <c r="M39" s="1" t="n"/>
    </row>
    <row r="40" ht="18" customHeight="1">
      <c r="A40" s="1" t="n"/>
      <c r="B40" s="33" t="n"/>
      <c r="C40" s="33" t="n"/>
      <c r="D40" s="33" t="n"/>
      <c r="E40" s="33" t="n"/>
      <c r="F40" s="33" t="n"/>
      <c r="G40" s="102">
        <f>IF(D40&lt;&gt;"",D40+30,"")</f>
        <v/>
      </c>
      <c r="H40" s="33">
        <f>IF(G40="","",IF(TODAY()&gt;G40+15,"✅ Cicatrizou","⏳ Em processo"))</f>
        <v/>
      </c>
      <c r="I40" s="33" t="n"/>
      <c r="J40" s="33" t="n"/>
      <c r="K40" s="33" t="n"/>
      <c r="L40" s="33" t="n"/>
      <c r="M40" s="1" t="n"/>
    </row>
    <row r="41" ht="18" customHeight="1">
      <c r="A41" s="1" t="n"/>
      <c r="B41" s="39" t="n"/>
      <c r="C41" s="39" t="n"/>
      <c r="D41" s="39" t="n"/>
      <c r="E41" s="39" t="n"/>
      <c r="F41" s="39" t="n"/>
      <c r="G41" s="101">
        <f>IF(D41&lt;&gt;"",D41+30,"")</f>
        <v/>
      </c>
      <c r="H41" s="39">
        <f>IF(G41="","",IF(TODAY()&gt;G41+15,"✅ Cicatrizou","⏳ Em processo"))</f>
        <v/>
      </c>
      <c r="I41" s="39" t="n"/>
      <c r="J41" s="39" t="n"/>
      <c r="K41" s="39" t="n"/>
      <c r="L41" s="39" t="n"/>
      <c r="M41" s="1" t="n"/>
    </row>
    <row r="42" ht="18" customHeight="1">
      <c r="A42" s="1" t="n"/>
      <c r="B42" s="33" t="n"/>
      <c r="C42" s="33" t="n"/>
      <c r="D42" s="33" t="n"/>
      <c r="E42" s="33" t="n"/>
      <c r="F42" s="33" t="n"/>
      <c r="G42" s="102">
        <f>IF(D42&lt;&gt;"",D42+30,"")</f>
        <v/>
      </c>
      <c r="H42" s="33">
        <f>IF(G42="","",IF(TODAY()&gt;G42+15,"✅ Cicatrizou","⏳ Em processo"))</f>
        <v/>
      </c>
      <c r="I42" s="33" t="n"/>
      <c r="J42" s="33" t="n"/>
      <c r="K42" s="33" t="n"/>
      <c r="L42" s="33" t="n"/>
      <c r="M42" s="1" t="n"/>
    </row>
    <row r="43" ht="18" customHeight="1">
      <c r="A43" s="1" t="n"/>
      <c r="B43" s="39" t="n"/>
      <c r="C43" s="39" t="n"/>
      <c r="D43" s="39" t="n"/>
      <c r="E43" s="39" t="n"/>
      <c r="F43" s="39" t="n"/>
      <c r="G43" s="101">
        <f>IF(D43&lt;&gt;"",D43+30,"")</f>
        <v/>
      </c>
      <c r="H43" s="39">
        <f>IF(G43="","",IF(TODAY()&gt;G43+15,"✅ Cicatrizou","⏳ Em processo"))</f>
        <v/>
      </c>
      <c r="I43" s="39" t="n"/>
      <c r="J43" s="39" t="n"/>
      <c r="K43" s="39" t="n"/>
      <c r="L43" s="39" t="n"/>
      <c r="M43" s="1" t="n"/>
    </row>
    <row r="44" ht="18" customHeight="1">
      <c r="A44" s="1" t="n"/>
      <c r="B44" s="33" t="n"/>
      <c r="C44" s="33" t="n"/>
      <c r="D44" s="33" t="n"/>
      <c r="E44" s="33" t="n"/>
      <c r="F44" s="33" t="n"/>
      <c r="G44" s="102">
        <f>IF(D44&lt;&gt;"",D44+30,"")</f>
        <v/>
      </c>
      <c r="H44" s="33">
        <f>IF(G44="","",IF(TODAY()&gt;G44+15,"✅ Cicatrizou","⏳ Em processo"))</f>
        <v/>
      </c>
      <c r="I44" s="33" t="n"/>
      <c r="J44" s="33" t="n"/>
      <c r="K44" s="33" t="n"/>
      <c r="L44" s="33" t="n"/>
      <c r="M44" s="1" t="n"/>
    </row>
    <row r="45" ht="18" customHeight="1">
      <c r="A45" s="1" t="n"/>
      <c r="B45" s="39" t="n"/>
      <c r="C45" s="39" t="n"/>
      <c r="D45" s="39" t="n"/>
      <c r="E45" s="39" t="n"/>
      <c r="F45" s="39" t="n"/>
      <c r="G45" s="101">
        <f>IF(D45&lt;&gt;"",D45+30,"")</f>
        <v/>
      </c>
      <c r="H45" s="39">
        <f>IF(G45="","",IF(TODAY()&gt;G45+15,"✅ Cicatrizou","⏳ Em processo"))</f>
        <v/>
      </c>
      <c r="I45" s="39" t="n"/>
      <c r="J45" s="39" t="n"/>
      <c r="K45" s="39" t="n"/>
      <c r="L45" s="39" t="n"/>
      <c r="M45" s="1" t="n"/>
    </row>
    <row r="46" ht="18" customHeight="1">
      <c r="A46" s="1" t="n"/>
      <c r="B46" s="33" t="n"/>
      <c r="C46" s="33" t="n"/>
      <c r="D46" s="33" t="n"/>
      <c r="E46" s="33" t="n"/>
      <c r="F46" s="33" t="n"/>
      <c r="G46" s="102">
        <f>IF(D46&lt;&gt;"",D46+30,"")</f>
        <v/>
      </c>
      <c r="H46" s="33">
        <f>IF(G46="","",IF(TODAY()&gt;G46+15,"✅ Cicatrizou","⏳ Em processo"))</f>
        <v/>
      </c>
      <c r="I46" s="33" t="n"/>
      <c r="J46" s="33" t="n"/>
      <c r="K46" s="33" t="n"/>
      <c r="L46" s="33" t="n"/>
      <c r="M46" s="1" t="n"/>
    </row>
    <row r="47" ht="18" customHeight="1">
      <c r="A47" s="1" t="n"/>
      <c r="B47" s="39" t="n"/>
      <c r="C47" s="39" t="n"/>
      <c r="D47" s="39" t="n"/>
      <c r="E47" s="39" t="n"/>
      <c r="F47" s="39" t="n"/>
      <c r="G47" s="101">
        <f>IF(D47&lt;&gt;"",D47+30,"")</f>
        <v/>
      </c>
      <c r="H47" s="39">
        <f>IF(G47="","",IF(TODAY()&gt;G47+15,"✅ Cicatrizou","⏳ Em processo"))</f>
        <v/>
      </c>
      <c r="I47" s="39" t="n"/>
      <c r="J47" s="39" t="n"/>
      <c r="K47" s="39" t="n"/>
      <c r="L47" s="39" t="n"/>
      <c r="M47" s="1" t="n"/>
    </row>
    <row r="48" ht="18" customHeight="1">
      <c r="A48" s="1" t="n"/>
      <c r="B48" s="33" t="n"/>
      <c r="C48" s="33" t="n"/>
      <c r="D48" s="33" t="n"/>
      <c r="E48" s="33" t="n"/>
      <c r="F48" s="33" t="n"/>
      <c r="G48" s="102">
        <f>IF(D48&lt;&gt;"",D48+30,"")</f>
        <v/>
      </c>
      <c r="H48" s="33">
        <f>IF(G48="","",IF(TODAY()&gt;G48+15,"✅ Cicatrizou","⏳ Em processo"))</f>
        <v/>
      </c>
      <c r="I48" s="33" t="n"/>
      <c r="J48" s="33" t="n"/>
      <c r="K48" s="33" t="n"/>
      <c r="L48" s="33" t="n"/>
      <c r="M48" s="1" t="n"/>
    </row>
    <row r="49" ht="18" customHeight="1">
      <c r="A49" s="1" t="n"/>
      <c r="B49" s="39" t="n"/>
      <c r="C49" s="39" t="n"/>
      <c r="D49" s="39" t="n"/>
      <c r="E49" s="39" t="n"/>
      <c r="F49" s="39" t="n"/>
      <c r="G49" s="101">
        <f>IF(D49&lt;&gt;"",D49+30,"")</f>
        <v/>
      </c>
      <c r="H49" s="39">
        <f>IF(G49="","",IF(TODAY()&gt;G49+15,"✅ Cicatrizou","⏳ Em processo"))</f>
        <v/>
      </c>
      <c r="I49" s="39" t="n"/>
      <c r="J49" s="39" t="n"/>
      <c r="K49" s="39" t="n"/>
      <c r="L49" s="39" t="n"/>
      <c r="M49" s="1" t="n"/>
    </row>
    <row r="50" ht="18" customHeight="1">
      <c r="A50" s="1" t="n"/>
      <c r="B50" s="33" t="n"/>
      <c r="C50" s="33" t="n"/>
      <c r="D50" s="33" t="n"/>
      <c r="E50" s="33" t="n"/>
      <c r="F50" s="33" t="n"/>
      <c r="G50" s="102">
        <f>IF(D50&lt;&gt;"",D50+30,"")</f>
        <v/>
      </c>
      <c r="H50" s="33">
        <f>IF(G50="","",IF(TODAY()&gt;G50+15,"✅ Cicatrizou","⏳ Em processo"))</f>
        <v/>
      </c>
      <c r="I50" s="33" t="n"/>
      <c r="J50" s="33" t="n"/>
      <c r="K50" s="33" t="n"/>
      <c r="L50" s="33" t="n"/>
      <c r="M50" s="1" t="n"/>
    </row>
    <row r="51" ht="18" customHeight="1">
      <c r="A51" s="1" t="n"/>
      <c r="B51" s="39" t="n"/>
      <c r="C51" s="39" t="n"/>
      <c r="D51" s="39" t="n"/>
      <c r="E51" s="39" t="n"/>
      <c r="F51" s="39" t="n"/>
      <c r="G51" s="101">
        <f>IF(D51&lt;&gt;"",D51+30,"")</f>
        <v/>
      </c>
      <c r="H51" s="39">
        <f>IF(G51="","",IF(TODAY()&gt;G51+15,"✅ Cicatrizou","⏳ Em processo"))</f>
        <v/>
      </c>
      <c r="I51" s="39" t="n"/>
      <c r="J51" s="39" t="n"/>
      <c r="K51" s="39" t="n"/>
      <c r="L51" s="39" t="n"/>
      <c r="M51" s="1" t="n"/>
    </row>
    <row r="52" ht="18" customHeight="1">
      <c r="A52" s="1" t="n"/>
      <c r="B52" s="33" t="n"/>
      <c r="C52" s="33" t="n"/>
      <c r="D52" s="33" t="n"/>
      <c r="E52" s="33" t="n"/>
      <c r="F52" s="33" t="n"/>
      <c r="G52" s="102">
        <f>IF(D52&lt;&gt;"",D52+30,"")</f>
        <v/>
      </c>
      <c r="H52" s="33">
        <f>IF(G52="","",IF(TODAY()&gt;G52+15,"✅ Cicatrizou","⏳ Em processo"))</f>
        <v/>
      </c>
      <c r="I52" s="33" t="n"/>
      <c r="J52" s="33" t="n"/>
      <c r="K52" s="33" t="n"/>
      <c r="L52" s="33" t="n"/>
      <c r="M52" s="1" t="n"/>
    </row>
    <row r="53" ht="18" customHeight="1">
      <c r="A53" s="1" t="n"/>
      <c r="B53" s="39" t="n"/>
      <c r="C53" s="39" t="n"/>
      <c r="D53" s="39" t="n"/>
      <c r="E53" s="39" t="n"/>
      <c r="F53" s="39" t="n"/>
      <c r="G53" s="101">
        <f>IF(D53&lt;&gt;"",D53+30,"")</f>
        <v/>
      </c>
      <c r="H53" s="39">
        <f>IF(G53="","",IF(TODAY()&gt;G53+15,"✅ Cicatrizou","⏳ Em processo"))</f>
        <v/>
      </c>
      <c r="I53" s="39" t="n"/>
      <c r="J53" s="39" t="n"/>
      <c r="K53" s="39" t="n"/>
      <c r="L53" s="39" t="n"/>
      <c r="M53" s="1" t="n"/>
    </row>
    <row r="54" ht="18" customHeight="1">
      <c r="A54" s="1" t="n"/>
      <c r="B54" s="33" t="n"/>
      <c r="C54" s="33" t="n"/>
      <c r="D54" s="33" t="n"/>
      <c r="E54" s="33" t="n"/>
      <c r="F54" s="33" t="n"/>
      <c r="G54" s="102">
        <f>IF(D54&lt;&gt;"",D54+30,"")</f>
        <v/>
      </c>
      <c r="H54" s="33">
        <f>IF(G54="","",IF(TODAY()&gt;G54+15,"✅ Cicatrizou","⏳ Em processo"))</f>
        <v/>
      </c>
      <c r="I54" s="33" t="n"/>
      <c r="J54" s="33" t="n"/>
      <c r="K54" s="33" t="n"/>
      <c r="L54" s="33" t="n"/>
      <c r="M54" s="1" t="n"/>
    </row>
    <row r="55" ht="18" customHeight="1">
      <c r="A55" s="1" t="n"/>
      <c r="B55" s="39" t="n"/>
      <c r="C55" s="39" t="n"/>
      <c r="D55" s="39" t="n"/>
      <c r="E55" s="39" t="n"/>
      <c r="F55" s="39" t="n"/>
      <c r="G55" s="101">
        <f>IF(D55&lt;&gt;"",D55+30,"")</f>
        <v/>
      </c>
      <c r="H55" s="39">
        <f>IF(G55="","",IF(TODAY()&gt;G55+15,"✅ Cicatrizou","⏳ Em processo"))</f>
        <v/>
      </c>
      <c r="I55" s="39" t="n"/>
      <c r="J55" s="39" t="n"/>
      <c r="K55" s="39" t="n"/>
      <c r="L55" s="39" t="n"/>
      <c r="M55" s="1" t="n"/>
    </row>
    <row r="56" ht="18" customHeight="1">
      <c r="A56" s="1" t="n"/>
      <c r="B56" s="33" t="n"/>
      <c r="C56" s="33" t="n"/>
      <c r="D56" s="33" t="n"/>
      <c r="E56" s="33" t="n"/>
      <c r="F56" s="33" t="n"/>
      <c r="G56" s="102">
        <f>IF(D56&lt;&gt;"",D56+30,"")</f>
        <v/>
      </c>
      <c r="H56" s="33">
        <f>IF(G56="","",IF(TODAY()&gt;G56+15,"✅ Cicatrizou","⏳ Em processo"))</f>
        <v/>
      </c>
      <c r="I56" s="33" t="n"/>
      <c r="J56" s="33" t="n"/>
      <c r="K56" s="33" t="n"/>
      <c r="L56" s="33" t="n"/>
      <c r="M56" s="1" t="n"/>
    </row>
    <row r="57" ht="18" customHeight="1">
      <c r="A57" s="1" t="n"/>
      <c r="B57" s="39" t="n"/>
      <c r="C57" s="39" t="n"/>
      <c r="D57" s="39" t="n"/>
      <c r="E57" s="39" t="n"/>
      <c r="F57" s="39" t="n"/>
      <c r="G57" s="101">
        <f>IF(D57&lt;&gt;"",D57+30,"")</f>
        <v/>
      </c>
      <c r="H57" s="39">
        <f>IF(G57="","",IF(TODAY()&gt;G57+15,"✅ Cicatrizou","⏳ Em processo"))</f>
        <v/>
      </c>
      <c r="I57" s="39" t="n"/>
      <c r="J57" s="39" t="n"/>
      <c r="K57" s="39" t="n"/>
      <c r="L57" s="39" t="n"/>
      <c r="M57" s="1" t="n"/>
    </row>
    <row r="58" ht="18" customHeight="1">
      <c r="A58" s="1" t="n"/>
      <c r="B58" s="33" t="n"/>
      <c r="C58" s="33" t="n"/>
      <c r="D58" s="33" t="n"/>
      <c r="E58" s="33" t="n"/>
      <c r="F58" s="33" t="n"/>
      <c r="G58" s="102">
        <f>IF(D58&lt;&gt;"",D58+30,"")</f>
        <v/>
      </c>
      <c r="H58" s="33">
        <f>IF(G58="","",IF(TODAY()&gt;G58+15,"✅ Cicatrizou","⏳ Em processo"))</f>
        <v/>
      </c>
      <c r="I58" s="33" t="n"/>
      <c r="J58" s="33" t="n"/>
      <c r="K58" s="33" t="n"/>
      <c r="L58" s="33" t="n"/>
      <c r="M58" s="1" t="n"/>
    </row>
    <row r="59" ht="18" customHeight="1">
      <c r="A59" s="1" t="n"/>
      <c r="B59" s="39" t="n"/>
      <c r="C59" s="39" t="n"/>
      <c r="D59" s="39" t="n"/>
      <c r="E59" s="39" t="n"/>
      <c r="F59" s="39" t="n"/>
      <c r="G59" s="101">
        <f>IF(D59&lt;&gt;"",D59+30,"")</f>
        <v/>
      </c>
      <c r="H59" s="39">
        <f>IF(G59="","",IF(TODAY()&gt;G59+15,"✅ Cicatrizou","⏳ Em processo"))</f>
        <v/>
      </c>
      <c r="I59" s="39" t="n"/>
      <c r="J59" s="39" t="n"/>
      <c r="K59" s="39" t="n"/>
      <c r="L59" s="39" t="n"/>
      <c r="M59" s="1" t="n"/>
    </row>
    <row r="60" ht="18" customHeight="1">
      <c r="A60" s="1" t="n"/>
      <c r="B60" s="33" t="n"/>
      <c r="C60" s="33" t="n"/>
      <c r="D60" s="33" t="n"/>
      <c r="E60" s="33" t="n"/>
      <c r="F60" s="33" t="n"/>
      <c r="G60" s="102">
        <f>IF(D60&lt;&gt;"",D60+30,"")</f>
        <v/>
      </c>
      <c r="H60" s="33">
        <f>IF(G60="","",IF(TODAY()&gt;G60+15,"✅ Cicatrizou","⏳ Em processo"))</f>
        <v/>
      </c>
      <c r="I60" s="33" t="n"/>
      <c r="J60" s="33" t="n"/>
      <c r="K60" s="33" t="n"/>
      <c r="L60" s="33" t="n"/>
      <c r="M60" s="1" t="n"/>
    </row>
    <row r="61" ht="18" customHeight="1">
      <c r="A61" s="1" t="n"/>
      <c r="B61" s="39" t="n"/>
      <c r="C61" s="39" t="n"/>
      <c r="D61" s="39" t="n"/>
      <c r="E61" s="39" t="n"/>
      <c r="F61" s="39" t="n"/>
      <c r="G61" s="101">
        <f>IF(D61&lt;&gt;"",D61+30,"")</f>
        <v/>
      </c>
      <c r="H61" s="39">
        <f>IF(G61="","",IF(TODAY()&gt;G61+15,"✅ Cicatrizou","⏳ Em processo"))</f>
        <v/>
      </c>
      <c r="I61" s="39" t="n"/>
      <c r="J61" s="39" t="n"/>
      <c r="K61" s="39" t="n"/>
      <c r="L61" s="39" t="n"/>
      <c r="M61" s="1" t="n"/>
    </row>
    <row r="62" ht="18" customHeight="1">
      <c r="A62" s="1" t="n"/>
      <c r="B62" s="33" t="n"/>
      <c r="C62" s="33" t="n"/>
      <c r="D62" s="33" t="n"/>
      <c r="E62" s="33" t="n"/>
      <c r="F62" s="33" t="n"/>
      <c r="G62" s="102">
        <f>IF(D62&lt;&gt;"",D62+30,"")</f>
        <v/>
      </c>
      <c r="H62" s="33">
        <f>IF(G62="","",IF(TODAY()&gt;G62+15,"✅ Cicatrizou","⏳ Em processo"))</f>
        <v/>
      </c>
      <c r="I62" s="33" t="n"/>
      <c r="J62" s="33" t="n"/>
      <c r="K62" s="33" t="n"/>
      <c r="L62" s="33" t="n"/>
      <c r="M62" s="1" t="n"/>
    </row>
    <row r="63" ht="18" customHeight="1">
      <c r="A63" s="1" t="n"/>
      <c r="B63" s="39" t="n"/>
      <c r="C63" s="39" t="n"/>
      <c r="D63" s="39" t="n"/>
      <c r="E63" s="39" t="n"/>
      <c r="F63" s="39" t="n"/>
      <c r="G63" s="101">
        <f>IF(D63&lt;&gt;"",D63+30,"")</f>
        <v/>
      </c>
      <c r="H63" s="39">
        <f>IF(G63="","",IF(TODAY()&gt;G63+15,"✅ Cicatrizou","⏳ Em processo"))</f>
        <v/>
      </c>
      <c r="I63" s="39" t="n"/>
      <c r="J63" s="39" t="n"/>
      <c r="K63" s="39" t="n"/>
      <c r="L63" s="39" t="n"/>
      <c r="M63" s="1" t="n"/>
    </row>
    <row r="64" ht="18" customHeight="1">
      <c r="A64" s="1" t="n"/>
      <c r="B64" s="33" t="n"/>
      <c r="C64" s="33" t="n"/>
      <c r="D64" s="33" t="n"/>
      <c r="E64" s="33" t="n"/>
      <c r="F64" s="33" t="n"/>
      <c r="G64" s="102">
        <f>IF(D64&lt;&gt;"",D64+30,"")</f>
        <v/>
      </c>
      <c r="H64" s="33">
        <f>IF(G64="","",IF(TODAY()&gt;G64+15,"✅ Cicatrizou","⏳ Em processo"))</f>
        <v/>
      </c>
      <c r="I64" s="33" t="n"/>
      <c r="J64" s="33" t="n"/>
      <c r="K64" s="33" t="n"/>
      <c r="L64" s="33" t="n"/>
      <c r="M64" s="1" t="n"/>
    </row>
    <row r="65" ht="18" customHeight="1">
      <c r="A65" s="1" t="n"/>
      <c r="B65" s="39" t="n"/>
      <c r="C65" s="39" t="n"/>
      <c r="D65" s="39" t="n"/>
      <c r="E65" s="39" t="n"/>
      <c r="F65" s="39" t="n"/>
      <c r="G65" s="101">
        <f>IF(D65&lt;&gt;"",D65+30,"")</f>
        <v/>
      </c>
      <c r="H65" s="39">
        <f>IF(G65="","",IF(TODAY()&gt;G65+15,"✅ Cicatrizou","⏳ Em processo"))</f>
        <v/>
      </c>
      <c r="I65" s="39" t="n"/>
      <c r="J65" s="39" t="n"/>
      <c r="K65" s="39" t="n"/>
      <c r="L65" s="39" t="n"/>
      <c r="M65" s="1" t="n"/>
    </row>
    <row r="66" ht="18" customHeight="1">
      <c r="A66" s="1" t="n"/>
      <c r="B66" s="33" t="n"/>
      <c r="C66" s="33" t="n"/>
      <c r="D66" s="33" t="n"/>
      <c r="E66" s="33" t="n"/>
      <c r="F66" s="33" t="n"/>
      <c r="G66" s="102">
        <f>IF(D66&lt;&gt;"",D66+30,"")</f>
        <v/>
      </c>
      <c r="H66" s="33">
        <f>IF(G66="","",IF(TODAY()&gt;G66+15,"✅ Cicatrizou","⏳ Em processo"))</f>
        <v/>
      </c>
      <c r="I66" s="33" t="n"/>
      <c r="J66" s="33" t="n"/>
      <c r="K66" s="33" t="n"/>
      <c r="L66" s="33" t="n"/>
      <c r="M66" s="1" t="n"/>
    </row>
    <row r="67" ht="18" customHeight="1">
      <c r="A67" s="1" t="n"/>
      <c r="B67" s="39" t="n"/>
      <c r="C67" s="39" t="n"/>
      <c r="D67" s="39" t="n"/>
      <c r="E67" s="39" t="n"/>
      <c r="F67" s="39" t="n"/>
      <c r="G67" s="101">
        <f>IF(D67&lt;&gt;"",D67+30,"")</f>
        <v/>
      </c>
      <c r="H67" s="39">
        <f>IF(G67="","",IF(TODAY()&gt;G67+15,"✅ Cicatrizou","⏳ Em processo"))</f>
        <v/>
      </c>
      <c r="I67" s="39" t="n"/>
      <c r="J67" s="39" t="n"/>
      <c r="K67" s="39" t="n"/>
      <c r="L67" s="39" t="n"/>
      <c r="M67" s="1" t="n"/>
    </row>
    <row r="68" ht="18" customHeight="1">
      <c r="A68" s="1" t="n"/>
      <c r="B68" s="33" t="n"/>
      <c r="C68" s="33" t="n"/>
      <c r="D68" s="33" t="n"/>
      <c r="E68" s="33" t="n"/>
      <c r="F68" s="33" t="n"/>
      <c r="G68" s="102">
        <f>IF(D68&lt;&gt;"",D68+30,"")</f>
        <v/>
      </c>
      <c r="H68" s="33">
        <f>IF(G68="","",IF(TODAY()&gt;G68+15,"✅ Cicatrizou","⏳ Em processo"))</f>
        <v/>
      </c>
      <c r="I68" s="33" t="n"/>
      <c r="J68" s="33" t="n"/>
      <c r="K68" s="33" t="n"/>
      <c r="L68" s="33" t="n"/>
      <c r="M68" s="1" t="n"/>
    </row>
    <row r="69" ht="18" customHeight="1">
      <c r="A69" s="1" t="n"/>
      <c r="B69" s="39" t="n"/>
      <c r="C69" s="39" t="n"/>
      <c r="D69" s="39" t="n"/>
      <c r="E69" s="39" t="n"/>
      <c r="F69" s="39" t="n"/>
      <c r="G69" s="101">
        <f>IF(D69&lt;&gt;"",D69+30,"")</f>
        <v/>
      </c>
      <c r="H69" s="39">
        <f>IF(G69="","",IF(TODAY()&gt;G69+15,"✅ Cicatrizou","⏳ Em processo"))</f>
        <v/>
      </c>
      <c r="I69" s="39" t="n"/>
      <c r="J69" s="39" t="n"/>
      <c r="K69" s="39" t="n"/>
      <c r="L69" s="39" t="n"/>
      <c r="M69" s="1" t="n"/>
    </row>
    <row r="70" ht="18" customHeight="1">
      <c r="A70" s="1" t="n"/>
      <c r="B70" s="33" t="n"/>
      <c r="C70" s="33" t="n"/>
      <c r="D70" s="33" t="n"/>
      <c r="E70" s="33" t="n"/>
      <c r="F70" s="33" t="n"/>
      <c r="G70" s="102">
        <f>IF(D70&lt;&gt;"",D70+30,"")</f>
        <v/>
      </c>
      <c r="H70" s="33">
        <f>IF(G70="","",IF(TODAY()&gt;G70+15,"✅ Cicatrizou","⏳ Em processo"))</f>
        <v/>
      </c>
      <c r="I70" s="33" t="n"/>
      <c r="J70" s="33" t="n"/>
      <c r="K70" s="33" t="n"/>
      <c r="L70" s="33" t="n"/>
      <c r="M70" s="1" t="n"/>
    </row>
    <row r="71" ht="18" customHeight="1">
      <c r="A71" s="1" t="n"/>
      <c r="B71" s="39" t="n"/>
      <c r="C71" s="39" t="n"/>
      <c r="D71" s="39" t="n"/>
      <c r="E71" s="39" t="n"/>
      <c r="F71" s="39" t="n"/>
      <c r="G71" s="101">
        <f>IF(D71&lt;&gt;"",D71+30,"")</f>
        <v/>
      </c>
      <c r="H71" s="39">
        <f>IF(G71="","",IF(TODAY()&gt;G71+15,"✅ Cicatrizou","⏳ Em processo"))</f>
        <v/>
      </c>
      <c r="I71" s="39" t="n"/>
      <c r="J71" s="39" t="n"/>
      <c r="K71" s="39" t="n"/>
      <c r="L71" s="39" t="n"/>
      <c r="M71" s="1" t="n"/>
    </row>
    <row r="72" ht="18" customHeight="1">
      <c r="A72" s="1" t="n"/>
      <c r="B72" s="33" t="n"/>
      <c r="C72" s="33" t="n"/>
      <c r="D72" s="33" t="n"/>
      <c r="E72" s="33" t="n"/>
      <c r="F72" s="33" t="n"/>
      <c r="G72" s="102">
        <f>IF(D72&lt;&gt;"",D72+30,"")</f>
        <v/>
      </c>
      <c r="H72" s="33">
        <f>IF(G72="","",IF(TODAY()&gt;G72+15,"✅ Cicatrizou","⏳ Em processo"))</f>
        <v/>
      </c>
      <c r="I72" s="33" t="n"/>
      <c r="J72" s="33" t="n"/>
      <c r="K72" s="33" t="n"/>
      <c r="L72" s="33" t="n"/>
      <c r="M72" s="1" t="n"/>
    </row>
    <row r="73" ht="18" customHeight="1">
      <c r="A73" s="1" t="n"/>
      <c r="B73" s="39" t="n"/>
      <c r="C73" s="39" t="n"/>
      <c r="D73" s="39" t="n"/>
      <c r="E73" s="39" t="n"/>
      <c r="F73" s="39" t="n"/>
      <c r="G73" s="101">
        <f>IF(D73&lt;&gt;"",D73+30,"")</f>
        <v/>
      </c>
      <c r="H73" s="39">
        <f>IF(G73="","",IF(TODAY()&gt;G73+15,"✅ Cicatrizou","⏳ Em processo"))</f>
        <v/>
      </c>
      <c r="I73" s="39" t="n"/>
      <c r="J73" s="39" t="n"/>
      <c r="K73" s="39" t="n"/>
      <c r="L73" s="39" t="n"/>
      <c r="M73" s="1" t="n"/>
    </row>
    <row r="74" ht="18" customHeight="1">
      <c r="A74" s="1" t="n"/>
      <c r="B74" s="33" t="n"/>
      <c r="C74" s="33" t="n"/>
      <c r="D74" s="33" t="n"/>
      <c r="E74" s="33" t="n"/>
      <c r="F74" s="33" t="n"/>
      <c r="G74" s="102">
        <f>IF(D74&lt;&gt;"",D74+30,"")</f>
        <v/>
      </c>
      <c r="H74" s="33">
        <f>IF(G74="","",IF(TODAY()&gt;G74+15,"✅ Cicatrizou","⏳ Em processo"))</f>
        <v/>
      </c>
      <c r="I74" s="33" t="n"/>
      <c r="J74" s="33" t="n"/>
      <c r="K74" s="33" t="n"/>
      <c r="L74" s="33" t="n"/>
      <c r="M74" s="1" t="n"/>
    </row>
    <row r="75" ht="18" customHeight="1">
      <c r="A75" s="1" t="n"/>
      <c r="B75" s="39" t="n"/>
      <c r="C75" s="39" t="n"/>
      <c r="D75" s="39" t="n"/>
      <c r="E75" s="39" t="n"/>
      <c r="F75" s="39" t="n"/>
      <c r="G75" s="101">
        <f>IF(D75&lt;&gt;"",D75+30,"")</f>
        <v/>
      </c>
      <c r="H75" s="39">
        <f>IF(G75="","",IF(TODAY()&gt;G75+15,"✅ Cicatrizou","⏳ Em processo"))</f>
        <v/>
      </c>
      <c r="I75" s="39" t="n"/>
      <c r="J75" s="39" t="n"/>
      <c r="K75" s="39" t="n"/>
      <c r="L75" s="39" t="n"/>
      <c r="M75" s="1" t="n"/>
    </row>
    <row r="76" ht="18" customHeight="1">
      <c r="A76" s="1" t="n"/>
      <c r="B76" s="33" t="n"/>
      <c r="C76" s="33" t="n"/>
      <c r="D76" s="33" t="n"/>
      <c r="E76" s="33" t="n"/>
      <c r="F76" s="33" t="n"/>
      <c r="G76" s="102">
        <f>IF(D76&lt;&gt;"",D76+30,"")</f>
        <v/>
      </c>
      <c r="H76" s="33">
        <f>IF(G76="","",IF(TODAY()&gt;G76+15,"✅ Cicatrizou","⏳ Em processo"))</f>
        <v/>
      </c>
      <c r="I76" s="33" t="n"/>
      <c r="J76" s="33" t="n"/>
      <c r="K76" s="33" t="n"/>
      <c r="L76" s="33" t="n"/>
      <c r="M76" s="1" t="n"/>
    </row>
    <row r="77" ht="18" customHeight="1">
      <c r="A77" s="1" t="n"/>
      <c r="B77" s="39" t="n"/>
      <c r="C77" s="39" t="n"/>
      <c r="D77" s="39" t="n"/>
      <c r="E77" s="39" t="n"/>
      <c r="F77" s="39" t="n"/>
      <c r="G77" s="101">
        <f>IF(D77&lt;&gt;"",D77+30,"")</f>
        <v/>
      </c>
      <c r="H77" s="39">
        <f>IF(G77="","",IF(TODAY()&gt;G77+15,"✅ Cicatrizou","⏳ Em processo"))</f>
        <v/>
      </c>
      <c r="I77" s="39" t="n"/>
      <c r="J77" s="39" t="n"/>
      <c r="K77" s="39" t="n"/>
      <c r="L77" s="39" t="n"/>
      <c r="M77" s="1" t="n"/>
    </row>
    <row r="78" ht="18" customHeight="1">
      <c r="A78" s="1" t="n"/>
      <c r="B78" s="33" t="n"/>
      <c r="C78" s="33" t="n"/>
      <c r="D78" s="33" t="n"/>
      <c r="E78" s="33" t="n"/>
      <c r="F78" s="33" t="n"/>
      <c r="G78" s="102">
        <f>IF(D78&lt;&gt;"",D78+30,"")</f>
        <v/>
      </c>
      <c r="H78" s="33">
        <f>IF(G78="","",IF(TODAY()&gt;G78+15,"✅ Cicatrizou","⏳ Em processo"))</f>
        <v/>
      </c>
      <c r="I78" s="33" t="n"/>
      <c r="J78" s="33" t="n"/>
      <c r="K78" s="33" t="n"/>
      <c r="L78" s="33" t="n"/>
      <c r="M78" s="1" t="n"/>
    </row>
    <row r="79" ht="18" customHeight="1">
      <c r="A79" s="1" t="n"/>
      <c r="B79" s="39" t="n"/>
      <c r="C79" s="39" t="n"/>
      <c r="D79" s="39" t="n"/>
      <c r="E79" s="39" t="n"/>
      <c r="F79" s="39" t="n"/>
      <c r="G79" s="101">
        <f>IF(D79&lt;&gt;"",D79+30,"")</f>
        <v/>
      </c>
      <c r="H79" s="39">
        <f>IF(G79="","",IF(TODAY()&gt;G79+15,"✅ Cicatrizou","⏳ Em processo"))</f>
        <v/>
      </c>
      <c r="I79" s="39" t="n"/>
      <c r="J79" s="39" t="n"/>
      <c r="K79" s="39" t="n"/>
      <c r="L79" s="39" t="n"/>
      <c r="M79" s="1" t="n"/>
    </row>
    <row r="80" ht="18" customHeight="1">
      <c r="A80" s="1" t="n"/>
      <c r="B80" s="33" t="n"/>
      <c r="C80" s="33" t="n"/>
      <c r="D80" s="33" t="n"/>
      <c r="E80" s="33" t="n"/>
      <c r="F80" s="33" t="n"/>
      <c r="G80" s="102">
        <f>IF(D80&lt;&gt;"",D80+30,"")</f>
        <v/>
      </c>
      <c r="H80" s="33">
        <f>IF(G80="","",IF(TODAY()&gt;G80+15,"✅ Cicatrizou","⏳ Em processo"))</f>
        <v/>
      </c>
      <c r="I80" s="33" t="n"/>
      <c r="J80" s="33" t="n"/>
      <c r="K80" s="33" t="n"/>
      <c r="L80" s="33" t="n"/>
      <c r="M80" s="1" t="n"/>
    </row>
    <row r="81" ht="18" customHeight="1">
      <c r="A81" s="1" t="n"/>
      <c r="B81" s="39" t="n"/>
      <c r="C81" s="39" t="n"/>
      <c r="D81" s="39" t="n"/>
      <c r="E81" s="39" t="n"/>
      <c r="F81" s="39" t="n"/>
      <c r="G81" s="101">
        <f>IF(D81&lt;&gt;"",D81+30,"")</f>
        <v/>
      </c>
      <c r="H81" s="39">
        <f>IF(G81="","",IF(TODAY()&gt;G81+15,"✅ Cicatrizou","⏳ Em processo"))</f>
        <v/>
      </c>
      <c r="I81" s="39" t="n"/>
      <c r="J81" s="39" t="n"/>
      <c r="K81" s="39" t="n"/>
      <c r="L81" s="39" t="n"/>
      <c r="M81" s="1" t="n"/>
    </row>
    <row r="82" ht="18" customHeight="1">
      <c r="A82" s="1" t="n"/>
      <c r="B82" s="33" t="n"/>
      <c r="C82" s="33" t="n"/>
      <c r="D82" s="33" t="n"/>
      <c r="E82" s="33" t="n"/>
      <c r="F82" s="33" t="n"/>
      <c r="G82" s="102">
        <f>IF(D82&lt;&gt;"",D82+30,"")</f>
        <v/>
      </c>
      <c r="H82" s="33">
        <f>IF(G82="","",IF(TODAY()&gt;G82+15,"✅ Cicatrizou","⏳ Em processo"))</f>
        <v/>
      </c>
      <c r="I82" s="33" t="n"/>
      <c r="J82" s="33" t="n"/>
      <c r="K82" s="33" t="n"/>
      <c r="L82" s="33" t="n"/>
      <c r="M82" s="1" t="n"/>
    </row>
    <row r="83" ht="18" customHeight="1">
      <c r="A83" s="1" t="n"/>
      <c r="B83" s="39" t="n"/>
      <c r="C83" s="39" t="n"/>
      <c r="D83" s="39" t="n"/>
      <c r="E83" s="39" t="n"/>
      <c r="F83" s="39" t="n"/>
      <c r="G83" s="101">
        <f>IF(D83&lt;&gt;"",D83+30,"")</f>
        <v/>
      </c>
      <c r="H83" s="39">
        <f>IF(G83="","",IF(TODAY()&gt;G83+15,"✅ Cicatrizou","⏳ Em processo"))</f>
        <v/>
      </c>
      <c r="I83" s="39" t="n"/>
      <c r="J83" s="39" t="n"/>
      <c r="K83" s="39" t="n"/>
      <c r="L83" s="39" t="n"/>
      <c r="M83" s="1" t="n"/>
    </row>
    <row r="84" ht="18" customHeight="1">
      <c r="A84" s="1" t="n"/>
      <c r="B84" s="33" t="n"/>
      <c r="C84" s="33" t="n"/>
      <c r="D84" s="33" t="n"/>
      <c r="E84" s="33" t="n"/>
      <c r="F84" s="33" t="n"/>
      <c r="G84" s="102">
        <f>IF(D84&lt;&gt;"",D84+30,"")</f>
        <v/>
      </c>
      <c r="H84" s="33">
        <f>IF(G84="","",IF(TODAY()&gt;G84+15,"✅ Cicatrizou","⏳ Em processo"))</f>
        <v/>
      </c>
      <c r="I84" s="33" t="n"/>
      <c r="J84" s="33" t="n"/>
      <c r="K84" s="33" t="n"/>
      <c r="L84" s="33" t="n"/>
      <c r="M84" s="1" t="n"/>
    </row>
    <row r="85" ht="18" customHeight="1">
      <c r="A85" s="1" t="n"/>
      <c r="B85" s="39" t="n"/>
      <c r="C85" s="39" t="n"/>
      <c r="D85" s="39" t="n"/>
      <c r="E85" s="39" t="n"/>
      <c r="F85" s="39" t="n"/>
      <c r="G85" s="101">
        <f>IF(D85&lt;&gt;"",D85+30,"")</f>
        <v/>
      </c>
      <c r="H85" s="39">
        <f>IF(G85="","",IF(TODAY()&gt;G85+15,"✅ Cicatrizou","⏳ Em processo"))</f>
        <v/>
      </c>
      <c r="I85" s="39" t="n"/>
      <c r="J85" s="39" t="n"/>
      <c r="K85" s="39" t="n"/>
      <c r="L85" s="39" t="n"/>
      <c r="M85" s="1" t="n"/>
    </row>
    <row r="86" ht="18" customHeight="1">
      <c r="A86" s="1" t="n"/>
      <c r="B86" s="33" t="n"/>
      <c r="C86" s="33" t="n"/>
      <c r="D86" s="33" t="n"/>
      <c r="E86" s="33" t="n"/>
      <c r="F86" s="33" t="n"/>
      <c r="G86" s="102">
        <f>IF(D86&lt;&gt;"",D86+30,"")</f>
        <v/>
      </c>
      <c r="H86" s="33">
        <f>IF(G86="","",IF(TODAY()&gt;G86+15,"✅ Cicatrizou","⏳ Em processo"))</f>
        <v/>
      </c>
      <c r="I86" s="33" t="n"/>
      <c r="J86" s="33" t="n"/>
      <c r="K86" s="33" t="n"/>
      <c r="L86" s="33" t="n"/>
      <c r="M86" s="1" t="n"/>
    </row>
    <row r="87" ht="18" customHeight="1">
      <c r="A87" s="1" t="n"/>
      <c r="B87" s="39" t="n"/>
      <c r="C87" s="39" t="n"/>
      <c r="D87" s="39" t="n"/>
      <c r="E87" s="39" t="n"/>
      <c r="F87" s="39" t="n"/>
      <c r="G87" s="101">
        <f>IF(D87&lt;&gt;"",D87+30,"")</f>
        <v/>
      </c>
      <c r="H87" s="39">
        <f>IF(G87="","",IF(TODAY()&gt;G87+15,"✅ Cicatrizou","⏳ Em processo"))</f>
        <v/>
      </c>
      <c r="I87" s="39" t="n"/>
      <c r="J87" s="39" t="n"/>
      <c r="K87" s="39" t="n"/>
      <c r="L87" s="39" t="n"/>
      <c r="M87" s="1" t="n"/>
    </row>
    <row r="88" ht="18" customHeight="1">
      <c r="A88" s="1" t="n"/>
      <c r="B88" s="33" t="n"/>
      <c r="C88" s="33" t="n"/>
      <c r="D88" s="33" t="n"/>
      <c r="E88" s="33" t="n"/>
      <c r="F88" s="33" t="n"/>
      <c r="G88" s="102">
        <f>IF(D88&lt;&gt;"",D88+30,"")</f>
        <v/>
      </c>
      <c r="H88" s="33">
        <f>IF(G88="","",IF(TODAY()&gt;G88+15,"✅ Cicatrizou","⏳ Em processo"))</f>
        <v/>
      </c>
      <c r="I88" s="33" t="n"/>
      <c r="J88" s="33" t="n"/>
      <c r="K88" s="33" t="n"/>
      <c r="L88" s="33" t="n"/>
      <c r="M88" s="1" t="n"/>
    </row>
    <row r="89" ht="18" customHeight="1">
      <c r="A89" s="1" t="n"/>
      <c r="B89" s="39" t="n"/>
      <c r="C89" s="39" t="n"/>
      <c r="D89" s="39" t="n"/>
      <c r="E89" s="39" t="n"/>
      <c r="F89" s="39" t="n"/>
      <c r="G89" s="101">
        <f>IF(D89&lt;&gt;"",D89+30,"")</f>
        <v/>
      </c>
      <c r="H89" s="39">
        <f>IF(G89="","",IF(TODAY()&gt;G89+15,"✅ Cicatrizou","⏳ Em processo"))</f>
        <v/>
      </c>
      <c r="I89" s="39" t="n"/>
      <c r="J89" s="39" t="n"/>
      <c r="K89" s="39" t="n"/>
      <c r="L89" s="39" t="n"/>
      <c r="M89" s="1" t="n"/>
    </row>
    <row r="90" ht="18" customHeight="1">
      <c r="A90" s="1" t="n"/>
      <c r="B90" s="33" t="n"/>
      <c r="C90" s="33" t="n"/>
      <c r="D90" s="33" t="n"/>
      <c r="E90" s="33" t="n"/>
      <c r="F90" s="33" t="n"/>
      <c r="G90" s="102">
        <f>IF(D90&lt;&gt;"",D90+30,"")</f>
        <v/>
      </c>
      <c r="H90" s="33">
        <f>IF(G90="","",IF(TODAY()&gt;G90+15,"✅ Cicatrizou","⏳ Em processo"))</f>
        <v/>
      </c>
      <c r="I90" s="33" t="n"/>
      <c r="J90" s="33" t="n"/>
      <c r="K90" s="33" t="n"/>
      <c r="L90" s="33" t="n"/>
      <c r="M90" s="1" t="n"/>
    </row>
    <row r="91" ht="18" customHeight="1">
      <c r="A91" s="1" t="n"/>
      <c r="B91" s="39" t="n"/>
      <c r="C91" s="39" t="n"/>
      <c r="D91" s="39" t="n"/>
      <c r="E91" s="39" t="n"/>
      <c r="F91" s="39" t="n"/>
      <c r="G91" s="101">
        <f>IF(D91&lt;&gt;"",D91+30,"")</f>
        <v/>
      </c>
      <c r="H91" s="39">
        <f>IF(G91="","",IF(TODAY()&gt;G91+15,"✅ Cicatrizou","⏳ Em processo"))</f>
        <v/>
      </c>
      <c r="I91" s="39" t="n"/>
      <c r="J91" s="39" t="n"/>
      <c r="K91" s="39" t="n"/>
      <c r="L91" s="39" t="n"/>
      <c r="M91" s="1" t="n"/>
    </row>
    <row r="92" ht="18" customHeight="1">
      <c r="A92" s="1" t="n"/>
      <c r="B92" s="33" t="n"/>
      <c r="C92" s="33" t="n"/>
      <c r="D92" s="33" t="n"/>
      <c r="E92" s="33" t="n"/>
      <c r="F92" s="33" t="n"/>
      <c r="G92" s="102">
        <f>IF(D92&lt;&gt;"",D92+30,"")</f>
        <v/>
      </c>
      <c r="H92" s="33">
        <f>IF(G92="","",IF(TODAY()&gt;G92+15,"✅ Cicatrizou","⏳ Em processo"))</f>
        <v/>
      </c>
      <c r="I92" s="33" t="n"/>
      <c r="J92" s="33" t="n"/>
      <c r="K92" s="33" t="n"/>
      <c r="L92" s="33" t="n"/>
      <c r="M92" s="1" t="n"/>
    </row>
    <row r="93" ht="18" customHeight="1">
      <c r="A93" s="1" t="n"/>
      <c r="B93" s="39" t="n"/>
      <c r="C93" s="39" t="n"/>
      <c r="D93" s="39" t="n"/>
      <c r="E93" s="39" t="n"/>
      <c r="F93" s="39" t="n"/>
      <c r="G93" s="101">
        <f>IF(D93&lt;&gt;"",D93+30,"")</f>
        <v/>
      </c>
      <c r="H93" s="39">
        <f>IF(G93="","",IF(TODAY()&gt;G93+15,"✅ Cicatrizou","⏳ Em processo"))</f>
        <v/>
      </c>
      <c r="I93" s="39" t="n"/>
      <c r="J93" s="39" t="n"/>
      <c r="K93" s="39" t="n"/>
      <c r="L93" s="39" t="n"/>
      <c r="M93" s="1" t="n"/>
    </row>
    <row r="94" ht="18" customHeight="1">
      <c r="A94" s="1" t="n"/>
      <c r="B94" s="33" t="n"/>
      <c r="C94" s="33" t="n"/>
      <c r="D94" s="33" t="n"/>
      <c r="E94" s="33" t="n"/>
      <c r="F94" s="33" t="n"/>
      <c r="G94" s="102">
        <f>IF(D94&lt;&gt;"",D94+30,"")</f>
        <v/>
      </c>
      <c r="H94" s="33">
        <f>IF(G94="","",IF(TODAY()&gt;G94+15,"✅ Cicatrizou","⏳ Em processo"))</f>
        <v/>
      </c>
      <c r="I94" s="33" t="n"/>
      <c r="J94" s="33" t="n"/>
      <c r="K94" s="33" t="n"/>
      <c r="L94" s="33" t="n"/>
      <c r="M94" s="1" t="n"/>
    </row>
    <row r="95" ht="18" customHeight="1">
      <c r="A95" s="1" t="n"/>
      <c r="B95" s="39" t="n"/>
      <c r="C95" s="39" t="n"/>
      <c r="D95" s="39" t="n"/>
      <c r="E95" s="39" t="n"/>
      <c r="F95" s="39" t="n"/>
      <c r="G95" s="101">
        <f>IF(D95&lt;&gt;"",D95+30,"")</f>
        <v/>
      </c>
      <c r="H95" s="39">
        <f>IF(G95="","",IF(TODAY()&gt;G95+15,"✅ Cicatrizou","⏳ Em processo"))</f>
        <v/>
      </c>
      <c r="I95" s="39" t="n"/>
      <c r="J95" s="39" t="n"/>
      <c r="K95" s="39" t="n"/>
      <c r="L95" s="39" t="n"/>
      <c r="M95" s="1" t="n"/>
    </row>
    <row r="96" ht="18" customHeight="1">
      <c r="A96" s="1" t="n"/>
      <c r="B96" s="33" t="n"/>
      <c r="C96" s="33" t="n"/>
      <c r="D96" s="33" t="n"/>
      <c r="E96" s="33" t="n"/>
      <c r="F96" s="33" t="n"/>
      <c r="G96" s="102">
        <f>IF(D96&lt;&gt;"",D96+30,"")</f>
        <v/>
      </c>
      <c r="H96" s="33">
        <f>IF(G96="","",IF(TODAY()&gt;G96+15,"✅ Cicatrizou","⏳ Em processo"))</f>
        <v/>
      </c>
      <c r="I96" s="33" t="n"/>
      <c r="J96" s="33" t="n"/>
      <c r="K96" s="33" t="n"/>
      <c r="L96" s="33" t="n"/>
      <c r="M96" s="1" t="n"/>
    </row>
    <row r="97" ht="18" customHeight="1">
      <c r="A97" s="1" t="n"/>
      <c r="B97" s="39" t="n"/>
      <c r="C97" s="39" t="n"/>
      <c r="D97" s="39" t="n"/>
      <c r="E97" s="39" t="n"/>
      <c r="F97" s="39" t="n"/>
      <c r="G97" s="101">
        <f>IF(D97&lt;&gt;"",D97+30,"")</f>
        <v/>
      </c>
      <c r="H97" s="39">
        <f>IF(G97="","",IF(TODAY()&gt;G97+15,"✅ Cicatrizou","⏳ Em processo"))</f>
        <v/>
      </c>
      <c r="I97" s="39" t="n"/>
      <c r="J97" s="39" t="n"/>
      <c r="K97" s="39" t="n"/>
      <c r="L97" s="39" t="n"/>
      <c r="M97" s="1" t="n"/>
    </row>
    <row r="98" ht="18" customHeight="1">
      <c r="A98" s="1" t="n"/>
      <c r="B98" s="33" t="n"/>
      <c r="C98" s="33" t="n"/>
      <c r="D98" s="33" t="n"/>
      <c r="E98" s="33" t="n"/>
      <c r="F98" s="33" t="n"/>
      <c r="G98" s="102">
        <f>IF(D98&lt;&gt;"",D98+30,"")</f>
        <v/>
      </c>
      <c r="H98" s="33">
        <f>IF(G98="","",IF(TODAY()&gt;G98+15,"✅ Cicatrizou","⏳ Em processo"))</f>
        <v/>
      </c>
      <c r="I98" s="33" t="n"/>
      <c r="J98" s="33" t="n"/>
      <c r="K98" s="33" t="n"/>
      <c r="L98" s="33" t="n"/>
      <c r="M98" s="1" t="n"/>
    </row>
    <row r="99" ht="18" customHeight="1">
      <c r="A99" s="1" t="n"/>
      <c r="B99" s="39" t="n"/>
      <c r="C99" s="39" t="n"/>
      <c r="D99" s="39" t="n"/>
      <c r="E99" s="39" t="n"/>
      <c r="F99" s="39" t="n"/>
      <c r="G99" s="101">
        <f>IF(D99&lt;&gt;"",D99+30,"")</f>
        <v/>
      </c>
      <c r="H99" s="39">
        <f>IF(G99="","",IF(TODAY()&gt;G99+15,"✅ Cicatrizou","⏳ Em processo"))</f>
        <v/>
      </c>
      <c r="I99" s="39" t="n"/>
      <c r="J99" s="39" t="n"/>
      <c r="K99" s="39" t="n"/>
      <c r="L99" s="39" t="n"/>
      <c r="M99" s="1" t="n"/>
    </row>
    <row r="100" ht="18" customHeight="1">
      <c r="A100" s="1" t="n"/>
      <c r="B100" s="33" t="n"/>
      <c r="C100" s="33" t="n"/>
      <c r="D100" s="33" t="n"/>
      <c r="E100" s="33" t="n"/>
      <c r="F100" s="33" t="n"/>
      <c r="G100" s="102">
        <f>IF(D100&lt;&gt;"",D100+30,"")</f>
        <v/>
      </c>
      <c r="H100" s="33">
        <f>IF(G100="","",IF(TODAY()&gt;G100+15,"✅ Cicatrizou","⏳ Em processo"))</f>
        <v/>
      </c>
      <c r="I100" s="33" t="n"/>
      <c r="J100" s="33" t="n"/>
      <c r="K100" s="33" t="n"/>
      <c r="L100" s="33" t="n"/>
      <c r="M100" s="1" t="n"/>
    </row>
    <row r="101" ht="18" customHeight="1">
      <c r="A101" s="1" t="n"/>
      <c r="B101" s="39" t="n"/>
      <c r="C101" s="39" t="n"/>
      <c r="D101" s="39" t="n"/>
      <c r="E101" s="39" t="n"/>
      <c r="F101" s="39" t="n"/>
      <c r="G101" s="101">
        <f>IF(D101&lt;&gt;"",D101+30,"")</f>
        <v/>
      </c>
      <c r="H101" s="39">
        <f>IF(G101="","",IF(TODAY()&gt;G101+15,"✅ Cicatrizou","⏳ Em processo"))</f>
        <v/>
      </c>
      <c r="I101" s="39" t="n"/>
      <c r="J101" s="39" t="n"/>
      <c r="K101" s="39" t="n"/>
      <c r="L101" s="39" t="n"/>
      <c r="M101" s="1" t="n"/>
    </row>
    <row r="102" ht="18" customHeight="1">
      <c r="A102" s="1" t="n"/>
      <c r="B102" s="33" t="n"/>
      <c r="C102" s="33" t="n"/>
      <c r="D102" s="33" t="n"/>
      <c r="E102" s="33" t="n"/>
      <c r="F102" s="33" t="n"/>
      <c r="G102" s="102">
        <f>IF(D102&lt;&gt;"",D102+30,"")</f>
        <v/>
      </c>
      <c r="H102" s="33">
        <f>IF(G102="","",IF(TODAY()&gt;G102+15,"✅ Cicatrizou","⏳ Em processo"))</f>
        <v/>
      </c>
      <c r="I102" s="33" t="n"/>
      <c r="J102" s="33" t="n"/>
      <c r="K102" s="33" t="n"/>
      <c r="L102" s="33" t="n"/>
      <c r="M102" s="1" t="n"/>
    </row>
    <row r="103" ht="18" customHeight="1">
      <c r="A103" s="1" t="n"/>
      <c r="B103" s="39" t="n"/>
      <c r="C103" s="39" t="n"/>
      <c r="D103" s="39" t="n"/>
      <c r="E103" s="39" t="n"/>
      <c r="F103" s="39" t="n"/>
      <c r="G103" s="101">
        <f>IF(D103&lt;&gt;"",D103+30,"")</f>
        <v/>
      </c>
      <c r="H103" s="39">
        <f>IF(G103="","",IF(TODAY()&gt;G103+15,"✅ Cicatrizou","⏳ Em processo"))</f>
        <v/>
      </c>
      <c r="I103" s="39" t="n"/>
      <c r="J103" s="39" t="n"/>
      <c r="K103" s="39" t="n"/>
      <c r="L103" s="39" t="n"/>
      <c r="M103" s="1" t="n"/>
    </row>
    <row r="104" ht="18" customHeight="1">
      <c r="A104" s="1" t="n"/>
      <c r="B104" s="33" t="n"/>
      <c r="C104" s="33" t="n"/>
      <c r="D104" s="33" t="n"/>
      <c r="E104" s="33" t="n"/>
      <c r="F104" s="33" t="n"/>
      <c r="G104" s="102">
        <f>IF(D104&lt;&gt;"",D104+30,"")</f>
        <v/>
      </c>
      <c r="H104" s="33">
        <f>IF(G104="","",IF(TODAY()&gt;G104+15,"✅ Cicatrizou","⏳ Em processo"))</f>
        <v/>
      </c>
      <c r="I104" s="33" t="n"/>
      <c r="J104" s="33" t="n"/>
      <c r="K104" s="33" t="n"/>
      <c r="L104" s="33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</sheetData>
  <mergeCells count="1">
    <mergeCell ref="B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20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5" customHeight="1">
      <c r="A2" s="1" t="n"/>
      <c r="B2" s="37" t="inlineStr">
        <is>
          <t>💼  CONTROLE DE COMISSÕES — CENTRAL TATTOO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1" t="inlineStr">
        <is>
          <t>⚙️  TABELA DE COMISSÕES POR PROFISSIONAL</t>
        </is>
      </c>
      <c r="M4" s="1" t="n"/>
    </row>
    <row r="5">
      <c r="A5" s="1" t="n"/>
      <c r="B5" s="38" t="inlineStr">
        <is>
          <t>PROFISSIONAL</t>
        </is>
      </c>
      <c r="C5" s="38" t="inlineStr">
        <is>
          <t>FUNÇÃO</t>
        </is>
      </c>
      <c r="D5" s="38" t="inlineStr">
        <is>
          <t>% COMISSÃO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20" customHeight="1">
      <c r="A6" s="1" t="n"/>
      <c r="B6" s="39" t="inlineStr">
        <is>
          <t>Carlos Henrique</t>
        </is>
      </c>
      <c r="C6" s="39" t="inlineStr">
        <is>
          <t>Tatuador Principal</t>
        </is>
      </c>
      <c r="D6" s="103" t="n">
        <v>0.6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20" customHeight="1">
      <c r="A7" s="1" t="n"/>
      <c r="B7" s="39" t="inlineStr">
        <is>
          <t>Profissional 2</t>
        </is>
      </c>
      <c r="C7" s="39" t="inlineStr">
        <is>
          <t>Tatuador</t>
        </is>
      </c>
      <c r="D7" s="103" t="n">
        <v>0.55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20" customHeight="1">
      <c r="A8" s="1" t="n"/>
      <c r="B8" s="39" t="inlineStr">
        <is>
          <t>Recepcionista</t>
        </is>
      </c>
      <c r="C8" s="39" t="inlineStr">
        <is>
          <t>Atendimento</t>
        </is>
      </c>
      <c r="D8" s="103" t="n">
        <v>0.3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0" customHeight="1">
      <c r="A9" s="1" t="n"/>
      <c r="B9" s="39" t="inlineStr">
        <is>
          <t>Body Piercer</t>
        </is>
      </c>
      <c r="C9" s="39" t="inlineStr">
        <is>
          <t>Piercing</t>
        </is>
      </c>
      <c r="D9" s="103" t="n">
        <v>0.5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20" customHeight="1">
      <c r="A12" s="1" t="n"/>
      <c r="B12" s="31" t="inlineStr">
        <is>
          <t>📋  LANÇAMENTOS DE COMISSÃO</t>
        </is>
      </c>
      <c r="M12" s="1" t="n"/>
    </row>
    <row r="13" ht="22" customHeight="1">
      <c r="A13" s="1" t="n"/>
      <c r="B13" s="38" t="inlineStr">
        <is>
          <t>DATA</t>
        </is>
      </c>
      <c r="C13" s="38" t="inlineStr">
        <is>
          <t>PROFISSIONAL</t>
        </is>
      </c>
      <c r="D13" s="38" t="inlineStr">
        <is>
          <t>SERVIÇO</t>
        </is>
      </c>
      <c r="E13" s="38" t="inlineStr">
        <is>
          <t>VALOR SERVIÇO</t>
        </is>
      </c>
      <c r="F13" s="38" t="inlineStr">
        <is>
          <t>% COMISSÃO</t>
        </is>
      </c>
      <c r="G13" s="38" t="inlineStr">
        <is>
          <t>VALOR COMISSÃO</t>
        </is>
      </c>
      <c r="H13" s="38" t="inlineStr">
        <is>
          <t>STATUS PGTO</t>
        </is>
      </c>
      <c r="I13" s="38" t="inlineStr">
        <is>
          <t>DATA PGTO</t>
        </is>
      </c>
      <c r="J13" s="1" t="n"/>
      <c r="K13" s="1" t="n"/>
      <c r="L13" s="1" t="n"/>
      <c r="M13" s="1" t="n"/>
    </row>
    <row r="14" ht="18" customHeight="1">
      <c r="A14" s="1" t="n"/>
      <c r="B14" s="33" t="n"/>
      <c r="C14" s="33" t="n"/>
      <c r="D14" s="33" t="n"/>
      <c r="E14" s="42" t="n"/>
      <c r="F14" s="33" t="n"/>
      <c r="G14" s="42">
        <f>IF(E14&lt;&gt;"",E14*F14,"")</f>
        <v/>
      </c>
      <c r="H14" s="33" t="n"/>
      <c r="I14" s="33" t="n"/>
      <c r="J14" s="1" t="n"/>
      <c r="K14" s="1" t="n"/>
      <c r="L14" s="1" t="n"/>
      <c r="M14" s="1" t="n"/>
    </row>
    <row r="15" ht="18" customHeight="1">
      <c r="A15" s="1" t="n"/>
      <c r="B15" s="39" t="n"/>
      <c r="C15" s="39" t="n"/>
      <c r="D15" s="39" t="n"/>
      <c r="E15" s="40" t="n"/>
      <c r="F15" s="39" t="n"/>
      <c r="G15" s="40">
        <f>IF(E15&lt;&gt;"",E15*F15,"")</f>
        <v/>
      </c>
      <c r="H15" s="39" t="n"/>
      <c r="I15" s="39" t="n"/>
      <c r="J15" s="1" t="n"/>
      <c r="K15" s="1" t="n"/>
      <c r="L15" s="1" t="n"/>
      <c r="M15" s="1" t="n"/>
    </row>
    <row r="16" ht="18" customHeight="1">
      <c r="A16" s="1" t="n"/>
      <c r="B16" s="33" t="n"/>
      <c r="C16" s="33" t="n"/>
      <c r="D16" s="33" t="n"/>
      <c r="E16" s="42" t="n"/>
      <c r="F16" s="33" t="n"/>
      <c r="G16" s="42">
        <f>IF(E16&lt;&gt;"",E16*F16,"")</f>
        <v/>
      </c>
      <c r="H16" s="33" t="n"/>
      <c r="I16" s="33" t="n"/>
      <c r="J16" s="1" t="n"/>
      <c r="K16" s="1" t="n"/>
      <c r="L16" s="1" t="n"/>
      <c r="M16" s="1" t="n"/>
    </row>
    <row r="17" ht="18" customHeight="1">
      <c r="A17" s="1" t="n"/>
      <c r="B17" s="39" t="n"/>
      <c r="C17" s="39" t="n"/>
      <c r="D17" s="39" t="n"/>
      <c r="E17" s="40" t="n"/>
      <c r="F17" s="39" t="n"/>
      <c r="G17" s="40">
        <f>IF(E17&lt;&gt;"",E17*F17,"")</f>
        <v/>
      </c>
      <c r="H17" s="39" t="n"/>
      <c r="I17" s="39" t="n"/>
      <c r="J17" s="1" t="n"/>
      <c r="K17" s="1" t="n"/>
      <c r="L17" s="1" t="n"/>
      <c r="M17" s="1" t="n"/>
    </row>
    <row r="18" ht="18" customHeight="1">
      <c r="A18" s="1" t="n"/>
      <c r="B18" s="33" t="n"/>
      <c r="C18" s="33" t="n"/>
      <c r="D18" s="33" t="n"/>
      <c r="E18" s="42" t="n"/>
      <c r="F18" s="33" t="n"/>
      <c r="G18" s="42">
        <f>IF(E18&lt;&gt;"",E18*F18,"")</f>
        <v/>
      </c>
      <c r="H18" s="33" t="n"/>
      <c r="I18" s="33" t="n"/>
      <c r="J18" s="1" t="n"/>
      <c r="K18" s="1" t="n"/>
      <c r="L18" s="1" t="n"/>
      <c r="M18" s="1" t="n"/>
    </row>
    <row r="19" ht="18" customHeight="1">
      <c r="A19" s="1" t="n"/>
      <c r="B19" s="39" t="n"/>
      <c r="C19" s="39" t="n"/>
      <c r="D19" s="39" t="n"/>
      <c r="E19" s="40" t="n"/>
      <c r="F19" s="39" t="n"/>
      <c r="G19" s="40">
        <f>IF(E19&lt;&gt;"",E19*F19,"")</f>
        <v/>
      </c>
      <c r="H19" s="39" t="n"/>
      <c r="I19" s="39" t="n"/>
      <c r="J19" s="1" t="n"/>
      <c r="K19" s="1" t="n"/>
      <c r="L19" s="1" t="n"/>
      <c r="M19" s="1" t="n"/>
    </row>
    <row r="20" ht="18" customHeight="1">
      <c r="A20" s="1" t="n"/>
      <c r="B20" s="33" t="n"/>
      <c r="C20" s="33" t="n"/>
      <c r="D20" s="33" t="n"/>
      <c r="E20" s="42" t="n"/>
      <c r="F20" s="33" t="n"/>
      <c r="G20" s="42">
        <f>IF(E20&lt;&gt;"",E20*F20,"")</f>
        <v/>
      </c>
      <c r="H20" s="33" t="n"/>
      <c r="I20" s="33" t="n"/>
      <c r="J20" s="1" t="n"/>
      <c r="K20" s="1" t="n"/>
      <c r="L20" s="1" t="n"/>
      <c r="M20" s="1" t="n"/>
    </row>
    <row r="21" ht="18" customHeight="1">
      <c r="A21" s="1" t="n"/>
      <c r="B21" s="39" t="n"/>
      <c r="C21" s="39" t="n"/>
      <c r="D21" s="39" t="n"/>
      <c r="E21" s="40" t="n"/>
      <c r="F21" s="39" t="n"/>
      <c r="G21" s="40">
        <f>IF(E21&lt;&gt;"",E21*F21,"")</f>
        <v/>
      </c>
      <c r="H21" s="39" t="n"/>
      <c r="I21" s="39" t="n"/>
      <c r="J21" s="1" t="n"/>
      <c r="K21" s="1" t="n"/>
      <c r="L21" s="1" t="n"/>
      <c r="M21" s="1" t="n"/>
    </row>
    <row r="22" ht="18" customHeight="1">
      <c r="A22" s="1" t="n"/>
      <c r="B22" s="33" t="n"/>
      <c r="C22" s="33" t="n"/>
      <c r="D22" s="33" t="n"/>
      <c r="E22" s="42" t="n"/>
      <c r="F22" s="33" t="n"/>
      <c r="G22" s="42">
        <f>IF(E22&lt;&gt;"",E22*F22,"")</f>
        <v/>
      </c>
      <c r="H22" s="33" t="n"/>
      <c r="I22" s="33" t="n"/>
      <c r="J22" s="1" t="n"/>
      <c r="K22" s="1" t="n"/>
      <c r="L22" s="1" t="n"/>
      <c r="M22" s="1" t="n"/>
    </row>
    <row r="23" ht="18" customHeight="1">
      <c r="A23" s="1" t="n"/>
      <c r="B23" s="39" t="n"/>
      <c r="C23" s="39" t="n"/>
      <c r="D23" s="39" t="n"/>
      <c r="E23" s="40" t="n"/>
      <c r="F23" s="39" t="n"/>
      <c r="G23" s="40">
        <f>IF(E23&lt;&gt;"",E23*F23,"")</f>
        <v/>
      </c>
      <c r="H23" s="39" t="n"/>
      <c r="I23" s="39" t="n"/>
      <c r="J23" s="1" t="n"/>
      <c r="K23" s="1" t="n"/>
      <c r="L23" s="1" t="n"/>
      <c r="M23" s="1" t="n"/>
    </row>
    <row r="24" ht="18" customHeight="1">
      <c r="A24" s="1" t="n"/>
      <c r="B24" s="33" t="n"/>
      <c r="C24" s="33" t="n"/>
      <c r="D24" s="33" t="n"/>
      <c r="E24" s="42" t="n"/>
      <c r="F24" s="33" t="n"/>
      <c r="G24" s="42">
        <f>IF(E24&lt;&gt;"",E24*F24,"")</f>
        <v/>
      </c>
      <c r="H24" s="33" t="n"/>
      <c r="I24" s="33" t="n"/>
      <c r="J24" s="1" t="n"/>
      <c r="K24" s="1" t="n"/>
      <c r="L24" s="1" t="n"/>
      <c r="M24" s="1" t="n"/>
    </row>
    <row r="25" ht="18" customHeight="1">
      <c r="A25" s="1" t="n"/>
      <c r="B25" s="39" t="n"/>
      <c r="C25" s="39" t="n"/>
      <c r="D25" s="39" t="n"/>
      <c r="E25" s="40" t="n"/>
      <c r="F25" s="39" t="n"/>
      <c r="G25" s="40">
        <f>IF(E25&lt;&gt;"",E25*F25,"")</f>
        <v/>
      </c>
      <c r="H25" s="39" t="n"/>
      <c r="I25" s="39" t="n"/>
      <c r="J25" s="1" t="n"/>
      <c r="K25" s="1" t="n"/>
      <c r="L25" s="1" t="n"/>
      <c r="M25" s="1" t="n"/>
    </row>
    <row r="26" ht="18" customHeight="1">
      <c r="A26" s="1" t="n"/>
      <c r="B26" s="33" t="n"/>
      <c r="C26" s="33" t="n"/>
      <c r="D26" s="33" t="n"/>
      <c r="E26" s="42" t="n"/>
      <c r="F26" s="33" t="n"/>
      <c r="G26" s="42">
        <f>IF(E26&lt;&gt;"",E26*F26,"")</f>
        <v/>
      </c>
      <c r="H26" s="33" t="n"/>
      <c r="I26" s="33" t="n"/>
      <c r="J26" s="1" t="n"/>
      <c r="K26" s="1" t="n"/>
      <c r="L26" s="1" t="n"/>
      <c r="M26" s="1" t="n"/>
    </row>
    <row r="27" ht="18" customHeight="1">
      <c r="A27" s="1" t="n"/>
      <c r="B27" s="39" t="n"/>
      <c r="C27" s="39" t="n"/>
      <c r="D27" s="39" t="n"/>
      <c r="E27" s="40" t="n"/>
      <c r="F27" s="39" t="n"/>
      <c r="G27" s="40">
        <f>IF(E27&lt;&gt;"",E27*F27,"")</f>
        <v/>
      </c>
      <c r="H27" s="39" t="n"/>
      <c r="I27" s="39" t="n"/>
      <c r="J27" s="1" t="n"/>
      <c r="K27" s="1" t="n"/>
      <c r="L27" s="1" t="n"/>
      <c r="M27" s="1" t="n"/>
    </row>
    <row r="28" ht="18" customHeight="1">
      <c r="A28" s="1" t="n"/>
      <c r="B28" s="33" t="n"/>
      <c r="C28" s="33" t="n"/>
      <c r="D28" s="33" t="n"/>
      <c r="E28" s="42" t="n"/>
      <c r="F28" s="33" t="n"/>
      <c r="G28" s="42">
        <f>IF(E28&lt;&gt;"",E28*F28,"")</f>
        <v/>
      </c>
      <c r="H28" s="33" t="n"/>
      <c r="I28" s="33" t="n"/>
      <c r="J28" s="1" t="n"/>
      <c r="K28" s="1" t="n"/>
      <c r="L28" s="1" t="n"/>
      <c r="M28" s="1" t="n"/>
    </row>
    <row r="29" ht="18" customHeight="1">
      <c r="A29" s="1" t="n"/>
      <c r="B29" s="39" t="n"/>
      <c r="C29" s="39" t="n"/>
      <c r="D29" s="39" t="n"/>
      <c r="E29" s="40" t="n"/>
      <c r="F29" s="39" t="n"/>
      <c r="G29" s="40">
        <f>IF(E29&lt;&gt;"",E29*F29,"")</f>
        <v/>
      </c>
      <c r="H29" s="39" t="n"/>
      <c r="I29" s="39" t="n"/>
      <c r="J29" s="1" t="n"/>
      <c r="K29" s="1" t="n"/>
      <c r="L29" s="1" t="n"/>
      <c r="M29" s="1" t="n"/>
    </row>
    <row r="30" ht="18" customHeight="1">
      <c r="A30" s="1" t="n"/>
      <c r="B30" s="33" t="n"/>
      <c r="C30" s="33" t="n"/>
      <c r="D30" s="33" t="n"/>
      <c r="E30" s="42" t="n"/>
      <c r="F30" s="33" t="n"/>
      <c r="G30" s="42">
        <f>IF(E30&lt;&gt;"",E30*F30,"")</f>
        <v/>
      </c>
      <c r="H30" s="33" t="n"/>
      <c r="I30" s="33" t="n"/>
      <c r="J30" s="1" t="n"/>
      <c r="K30" s="1" t="n"/>
      <c r="L30" s="1" t="n"/>
      <c r="M30" s="1" t="n"/>
    </row>
    <row r="31" ht="18" customHeight="1">
      <c r="A31" s="1" t="n"/>
      <c r="B31" s="39" t="n"/>
      <c r="C31" s="39" t="n"/>
      <c r="D31" s="39" t="n"/>
      <c r="E31" s="40" t="n"/>
      <c r="F31" s="39" t="n"/>
      <c r="G31" s="40">
        <f>IF(E31&lt;&gt;"",E31*F31,"")</f>
        <v/>
      </c>
      <c r="H31" s="39" t="n"/>
      <c r="I31" s="39" t="n"/>
      <c r="J31" s="1" t="n"/>
      <c r="K31" s="1" t="n"/>
      <c r="L31" s="1" t="n"/>
      <c r="M31" s="1" t="n"/>
    </row>
    <row r="32" ht="18" customHeight="1">
      <c r="A32" s="1" t="n"/>
      <c r="B32" s="33" t="n"/>
      <c r="C32" s="33" t="n"/>
      <c r="D32" s="33" t="n"/>
      <c r="E32" s="42" t="n"/>
      <c r="F32" s="33" t="n"/>
      <c r="G32" s="42">
        <f>IF(E32&lt;&gt;"",E32*F32,"")</f>
        <v/>
      </c>
      <c r="H32" s="33" t="n"/>
      <c r="I32" s="33" t="n"/>
      <c r="J32" s="1" t="n"/>
      <c r="K32" s="1" t="n"/>
      <c r="L32" s="1" t="n"/>
      <c r="M32" s="1" t="n"/>
    </row>
    <row r="33" ht="18" customHeight="1">
      <c r="A33" s="1" t="n"/>
      <c r="B33" s="39" t="n"/>
      <c r="C33" s="39" t="n"/>
      <c r="D33" s="39" t="n"/>
      <c r="E33" s="40" t="n"/>
      <c r="F33" s="39" t="n"/>
      <c r="G33" s="40">
        <f>IF(E33&lt;&gt;"",E33*F33,"")</f>
        <v/>
      </c>
      <c r="H33" s="39" t="n"/>
      <c r="I33" s="39" t="n"/>
      <c r="J33" s="1" t="n"/>
      <c r="K33" s="1" t="n"/>
      <c r="L33" s="1" t="n"/>
      <c r="M33" s="1" t="n"/>
    </row>
    <row r="34" ht="18" customHeight="1">
      <c r="A34" s="1" t="n"/>
      <c r="B34" s="33" t="n"/>
      <c r="C34" s="33" t="n"/>
      <c r="D34" s="33" t="n"/>
      <c r="E34" s="42" t="n"/>
      <c r="F34" s="33" t="n"/>
      <c r="G34" s="42">
        <f>IF(E34&lt;&gt;"",E34*F34,"")</f>
        <v/>
      </c>
      <c r="H34" s="33" t="n"/>
      <c r="I34" s="33" t="n"/>
      <c r="J34" s="1" t="n"/>
      <c r="K34" s="1" t="n"/>
      <c r="L34" s="1" t="n"/>
      <c r="M34" s="1" t="n"/>
    </row>
    <row r="35" ht="18" customHeight="1">
      <c r="A35" s="1" t="n"/>
      <c r="B35" s="39" t="n"/>
      <c r="C35" s="39" t="n"/>
      <c r="D35" s="39" t="n"/>
      <c r="E35" s="40" t="n"/>
      <c r="F35" s="39" t="n"/>
      <c r="G35" s="40">
        <f>IF(E35&lt;&gt;"",E35*F35,"")</f>
        <v/>
      </c>
      <c r="H35" s="39" t="n"/>
      <c r="I35" s="39" t="n"/>
      <c r="J35" s="1" t="n"/>
      <c r="K35" s="1" t="n"/>
      <c r="L35" s="1" t="n"/>
      <c r="M35" s="1" t="n"/>
    </row>
    <row r="36" ht="18" customHeight="1">
      <c r="A36" s="1" t="n"/>
      <c r="B36" s="33" t="n"/>
      <c r="C36" s="33" t="n"/>
      <c r="D36" s="33" t="n"/>
      <c r="E36" s="42" t="n"/>
      <c r="F36" s="33" t="n"/>
      <c r="G36" s="42">
        <f>IF(E36&lt;&gt;"",E36*F36,"")</f>
        <v/>
      </c>
      <c r="H36" s="33" t="n"/>
      <c r="I36" s="33" t="n"/>
      <c r="J36" s="1" t="n"/>
      <c r="K36" s="1" t="n"/>
      <c r="L36" s="1" t="n"/>
      <c r="M36" s="1" t="n"/>
    </row>
    <row r="37" ht="18" customHeight="1">
      <c r="A37" s="1" t="n"/>
      <c r="B37" s="39" t="n"/>
      <c r="C37" s="39" t="n"/>
      <c r="D37" s="39" t="n"/>
      <c r="E37" s="40" t="n"/>
      <c r="F37" s="39" t="n"/>
      <c r="G37" s="40">
        <f>IF(E37&lt;&gt;"",E37*F37,"")</f>
        <v/>
      </c>
      <c r="H37" s="39" t="n"/>
      <c r="I37" s="39" t="n"/>
      <c r="J37" s="1" t="n"/>
      <c r="K37" s="1" t="n"/>
      <c r="L37" s="1" t="n"/>
      <c r="M37" s="1" t="n"/>
    </row>
    <row r="38" ht="18" customHeight="1">
      <c r="A38" s="1" t="n"/>
      <c r="B38" s="33" t="n"/>
      <c r="C38" s="33" t="n"/>
      <c r="D38" s="33" t="n"/>
      <c r="E38" s="42" t="n"/>
      <c r="F38" s="33" t="n"/>
      <c r="G38" s="42">
        <f>IF(E38&lt;&gt;"",E38*F38,"")</f>
        <v/>
      </c>
      <c r="H38" s="33" t="n"/>
      <c r="I38" s="33" t="n"/>
      <c r="J38" s="1" t="n"/>
      <c r="K38" s="1" t="n"/>
      <c r="L38" s="1" t="n"/>
      <c r="M38" s="1" t="n"/>
    </row>
    <row r="39" ht="18" customHeight="1">
      <c r="A39" s="1" t="n"/>
      <c r="B39" s="39" t="n"/>
      <c r="C39" s="39" t="n"/>
      <c r="D39" s="39" t="n"/>
      <c r="E39" s="40" t="n"/>
      <c r="F39" s="39" t="n"/>
      <c r="G39" s="40">
        <f>IF(E39&lt;&gt;"",E39*F39,"")</f>
        <v/>
      </c>
      <c r="H39" s="39" t="n"/>
      <c r="I39" s="39" t="n"/>
      <c r="J39" s="1" t="n"/>
      <c r="K39" s="1" t="n"/>
      <c r="L39" s="1" t="n"/>
      <c r="M39" s="1" t="n"/>
    </row>
    <row r="40" ht="18" customHeight="1">
      <c r="A40" s="1" t="n"/>
      <c r="B40" s="33" t="n"/>
      <c r="C40" s="33" t="n"/>
      <c r="D40" s="33" t="n"/>
      <c r="E40" s="42" t="n"/>
      <c r="F40" s="33" t="n"/>
      <c r="G40" s="42">
        <f>IF(E40&lt;&gt;"",E40*F40,"")</f>
        <v/>
      </c>
      <c r="H40" s="33" t="n"/>
      <c r="I40" s="33" t="n"/>
      <c r="J40" s="1" t="n"/>
      <c r="K40" s="1" t="n"/>
      <c r="L40" s="1" t="n"/>
      <c r="M40" s="1" t="n"/>
    </row>
    <row r="41" ht="18" customHeight="1">
      <c r="A41" s="1" t="n"/>
      <c r="B41" s="39" t="n"/>
      <c r="C41" s="39" t="n"/>
      <c r="D41" s="39" t="n"/>
      <c r="E41" s="40" t="n"/>
      <c r="F41" s="39" t="n"/>
      <c r="G41" s="40">
        <f>IF(E41&lt;&gt;"",E41*F41,"")</f>
        <v/>
      </c>
      <c r="H41" s="39" t="n"/>
      <c r="I41" s="39" t="n"/>
      <c r="J41" s="1" t="n"/>
      <c r="K41" s="1" t="n"/>
      <c r="L41" s="1" t="n"/>
      <c r="M41" s="1" t="n"/>
    </row>
    <row r="42" ht="18" customHeight="1">
      <c r="A42" s="1" t="n"/>
      <c r="B42" s="33" t="n"/>
      <c r="C42" s="33" t="n"/>
      <c r="D42" s="33" t="n"/>
      <c r="E42" s="42" t="n"/>
      <c r="F42" s="33" t="n"/>
      <c r="G42" s="42">
        <f>IF(E42&lt;&gt;"",E42*F42,"")</f>
        <v/>
      </c>
      <c r="H42" s="33" t="n"/>
      <c r="I42" s="33" t="n"/>
      <c r="J42" s="1" t="n"/>
      <c r="K42" s="1" t="n"/>
      <c r="L42" s="1" t="n"/>
      <c r="M42" s="1" t="n"/>
    </row>
    <row r="43" ht="18" customHeight="1">
      <c r="A43" s="1" t="n"/>
      <c r="B43" s="39" t="n"/>
      <c r="C43" s="39" t="n"/>
      <c r="D43" s="39" t="n"/>
      <c r="E43" s="40" t="n"/>
      <c r="F43" s="39" t="n"/>
      <c r="G43" s="40">
        <f>IF(E43&lt;&gt;"",E43*F43,"")</f>
        <v/>
      </c>
      <c r="H43" s="39" t="n"/>
      <c r="I43" s="39" t="n"/>
      <c r="J43" s="1" t="n"/>
      <c r="K43" s="1" t="n"/>
      <c r="L43" s="1" t="n"/>
      <c r="M43" s="1" t="n"/>
    </row>
    <row r="44" ht="18" customHeight="1">
      <c r="A44" s="1" t="n"/>
      <c r="B44" s="33" t="n"/>
      <c r="C44" s="33" t="n"/>
      <c r="D44" s="33" t="n"/>
      <c r="E44" s="42" t="n"/>
      <c r="F44" s="33" t="n"/>
      <c r="G44" s="42">
        <f>IF(E44&lt;&gt;"",E44*F44,"")</f>
        <v/>
      </c>
      <c r="H44" s="33" t="n"/>
      <c r="I44" s="33" t="n"/>
      <c r="J44" s="1" t="n"/>
      <c r="K44" s="1" t="n"/>
      <c r="L44" s="1" t="n"/>
      <c r="M44" s="1" t="n"/>
    </row>
    <row r="45" ht="18" customHeight="1">
      <c r="A45" s="1" t="n"/>
      <c r="B45" s="39" t="n"/>
      <c r="C45" s="39" t="n"/>
      <c r="D45" s="39" t="n"/>
      <c r="E45" s="40" t="n"/>
      <c r="F45" s="39" t="n"/>
      <c r="G45" s="40">
        <f>IF(E45&lt;&gt;"",E45*F45,"")</f>
        <v/>
      </c>
      <c r="H45" s="39" t="n"/>
      <c r="I45" s="39" t="n"/>
      <c r="J45" s="1" t="n"/>
      <c r="K45" s="1" t="n"/>
      <c r="L45" s="1" t="n"/>
      <c r="M45" s="1" t="n"/>
    </row>
    <row r="46" ht="18" customHeight="1">
      <c r="A46" s="1" t="n"/>
      <c r="B46" s="33" t="n"/>
      <c r="C46" s="33" t="n"/>
      <c r="D46" s="33" t="n"/>
      <c r="E46" s="42" t="n"/>
      <c r="F46" s="33" t="n"/>
      <c r="G46" s="42">
        <f>IF(E46&lt;&gt;"",E46*F46,"")</f>
        <v/>
      </c>
      <c r="H46" s="33" t="n"/>
      <c r="I46" s="33" t="n"/>
      <c r="J46" s="1" t="n"/>
      <c r="K46" s="1" t="n"/>
      <c r="L46" s="1" t="n"/>
      <c r="M46" s="1" t="n"/>
    </row>
    <row r="47" ht="18" customHeight="1">
      <c r="A47" s="1" t="n"/>
      <c r="B47" s="39" t="n"/>
      <c r="C47" s="39" t="n"/>
      <c r="D47" s="39" t="n"/>
      <c r="E47" s="40" t="n"/>
      <c r="F47" s="39" t="n"/>
      <c r="G47" s="40">
        <f>IF(E47&lt;&gt;"",E47*F47,"")</f>
        <v/>
      </c>
      <c r="H47" s="39" t="n"/>
      <c r="I47" s="39" t="n"/>
      <c r="J47" s="1" t="n"/>
      <c r="K47" s="1" t="n"/>
      <c r="L47" s="1" t="n"/>
      <c r="M47" s="1" t="n"/>
    </row>
    <row r="48" ht="18" customHeight="1">
      <c r="A48" s="1" t="n"/>
      <c r="B48" s="33" t="n"/>
      <c r="C48" s="33" t="n"/>
      <c r="D48" s="33" t="n"/>
      <c r="E48" s="42" t="n"/>
      <c r="F48" s="33" t="n"/>
      <c r="G48" s="42">
        <f>IF(E48&lt;&gt;"",E48*F48,"")</f>
        <v/>
      </c>
      <c r="H48" s="33" t="n"/>
      <c r="I48" s="33" t="n"/>
      <c r="J48" s="1" t="n"/>
      <c r="K48" s="1" t="n"/>
      <c r="L48" s="1" t="n"/>
      <c r="M48" s="1" t="n"/>
    </row>
    <row r="49" ht="18" customHeight="1">
      <c r="A49" s="1" t="n"/>
      <c r="B49" s="39" t="n"/>
      <c r="C49" s="39" t="n"/>
      <c r="D49" s="39" t="n"/>
      <c r="E49" s="40" t="n"/>
      <c r="F49" s="39" t="n"/>
      <c r="G49" s="40">
        <f>IF(E49&lt;&gt;"",E49*F49,"")</f>
        <v/>
      </c>
      <c r="H49" s="39" t="n"/>
      <c r="I49" s="39" t="n"/>
      <c r="J49" s="1" t="n"/>
      <c r="K49" s="1" t="n"/>
      <c r="L49" s="1" t="n"/>
      <c r="M49" s="1" t="n"/>
    </row>
    <row r="50" ht="18" customHeight="1">
      <c r="A50" s="1" t="n"/>
      <c r="B50" s="33" t="n"/>
      <c r="C50" s="33" t="n"/>
      <c r="D50" s="33" t="n"/>
      <c r="E50" s="42" t="n"/>
      <c r="F50" s="33" t="n"/>
      <c r="G50" s="42">
        <f>IF(E50&lt;&gt;"",E50*F50,"")</f>
        <v/>
      </c>
      <c r="H50" s="33" t="n"/>
      <c r="I50" s="33" t="n"/>
      <c r="J50" s="1" t="n"/>
      <c r="K50" s="1" t="n"/>
      <c r="L50" s="1" t="n"/>
      <c r="M50" s="1" t="n"/>
    </row>
    <row r="51" ht="18" customHeight="1">
      <c r="A51" s="1" t="n"/>
      <c r="B51" s="39" t="n"/>
      <c r="C51" s="39" t="n"/>
      <c r="D51" s="39" t="n"/>
      <c r="E51" s="40" t="n"/>
      <c r="F51" s="39" t="n"/>
      <c r="G51" s="40">
        <f>IF(E51&lt;&gt;"",E51*F51,"")</f>
        <v/>
      </c>
      <c r="H51" s="39" t="n"/>
      <c r="I51" s="39" t="n"/>
      <c r="J51" s="1" t="n"/>
      <c r="K51" s="1" t="n"/>
      <c r="L51" s="1" t="n"/>
      <c r="M51" s="1" t="n"/>
    </row>
    <row r="52" ht="18" customHeight="1">
      <c r="A52" s="1" t="n"/>
      <c r="B52" s="33" t="n"/>
      <c r="C52" s="33" t="n"/>
      <c r="D52" s="33" t="n"/>
      <c r="E52" s="42" t="n"/>
      <c r="F52" s="33" t="n"/>
      <c r="G52" s="42">
        <f>IF(E52&lt;&gt;"",E52*F52,"")</f>
        <v/>
      </c>
      <c r="H52" s="33" t="n"/>
      <c r="I52" s="33" t="n"/>
      <c r="J52" s="1" t="n"/>
      <c r="K52" s="1" t="n"/>
      <c r="L52" s="1" t="n"/>
      <c r="M52" s="1" t="n"/>
    </row>
    <row r="53" ht="18" customHeight="1">
      <c r="A53" s="1" t="n"/>
      <c r="B53" s="39" t="n"/>
      <c r="C53" s="39" t="n"/>
      <c r="D53" s="39" t="n"/>
      <c r="E53" s="40" t="n"/>
      <c r="F53" s="39" t="n"/>
      <c r="G53" s="40">
        <f>IF(E53&lt;&gt;"",E53*F53,"")</f>
        <v/>
      </c>
      <c r="H53" s="39" t="n"/>
      <c r="I53" s="39" t="n"/>
      <c r="J53" s="1" t="n"/>
      <c r="K53" s="1" t="n"/>
      <c r="L53" s="1" t="n"/>
      <c r="M53" s="1" t="n"/>
    </row>
    <row r="54" ht="18" customHeight="1">
      <c r="A54" s="1" t="n"/>
      <c r="B54" s="33" t="n"/>
      <c r="C54" s="33" t="n"/>
      <c r="D54" s="33" t="n"/>
      <c r="E54" s="42" t="n"/>
      <c r="F54" s="33" t="n"/>
      <c r="G54" s="42">
        <f>IF(E54&lt;&gt;"",E54*F54,"")</f>
        <v/>
      </c>
      <c r="H54" s="33" t="n"/>
      <c r="I54" s="33" t="n"/>
      <c r="J54" s="1" t="n"/>
      <c r="K54" s="1" t="n"/>
      <c r="L54" s="1" t="n"/>
      <c r="M54" s="1" t="n"/>
    </row>
    <row r="55" ht="18" customHeight="1">
      <c r="A55" s="1" t="n"/>
      <c r="B55" s="39" t="n"/>
      <c r="C55" s="39" t="n"/>
      <c r="D55" s="39" t="n"/>
      <c r="E55" s="40" t="n"/>
      <c r="F55" s="39" t="n"/>
      <c r="G55" s="40">
        <f>IF(E55&lt;&gt;"",E55*F55,"")</f>
        <v/>
      </c>
      <c r="H55" s="39" t="n"/>
      <c r="I55" s="39" t="n"/>
      <c r="J55" s="1" t="n"/>
      <c r="K55" s="1" t="n"/>
      <c r="L55" s="1" t="n"/>
      <c r="M55" s="1" t="n"/>
    </row>
    <row r="56" ht="18" customHeight="1">
      <c r="A56" s="1" t="n"/>
      <c r="B56" s="33" t="n"/>
      <c r="C56" s="33" t="n"/>
      <c r="D56" s="33" t="n"/>
      <c r="E56" s="42" t="n"/>
      <c r="F56" s="33" t="n"/>
      <c r="G56" s="42">
        <f>IF(E56&lt;&gt;"",E56*F56,"")</f>
        <v/>
      </c>
      <c r="H56" s="33" t="n"/>
      <c r="I56" s="33" t="n"/>
      <c r="J56" s="1" t="n"/>
      <c r="K56" s="1" t="n"/>
      <c r="L56" s="1" t="n"/>
      <c r="M56" s="1" t="n"/>
    </row>
    <row r="57" ht="18" customHeight="1">
      <c r="A57" s="1" t="n"/>
      <c r="B57" s="39" t="n"/>
      <c r="C57" s="39" t="n"/>
      <c r="D57" s="39" t="n"/>
      <c r="E57" s="40" t="n"/>
      <c r="F57" s="39" t="n"/>
      <c r="G57" s="40">
        <f>IF(E57&lt;&gt;"",E57*F57,"")</f>
        <v/>
      </c>
      <c r="H57" s="39" t="n"/>
      <c r="I57" s="39" t="n"/>
      <c r="J57" s="1" t="n"/>
      <c r="K57" s="1" t="n"/>
      <c r="L57" s="1" t="n"/>
      <c r="M57" s="1" t="n"/>
    </row>
    <row r="58" ht="18" customHeight="1">
      <c r="A58" s="1" t="n"/>
      <c r="B58" s="33" t="n"/>
      <c r="C58" s="33" t="n"/>
      <c r="D58" s="33" t="n"/>
      <c r="E58" s="42" t="n"/>
      <c r="F58" s="33" t="n"/>
      <c r="G58" s="42">
        <f>IF(E58&lt;&gt;"",E58*F58,"")</f>
        <v/>
      </c>
      <c r="H58" s="33" t="n"/>
      <c r="I58" s="33" t="n"/>
      <c r="J58" s="1" t="n"/>
      <c r="K58" s="1" t="n"/>
      <c r="L58" s="1" t="n"/>
      <c r="M58" s="1" t="n"/>
    </row>
    <row r="59" ht="18" customHeight="1">
      <c r="A59" s="1" t="n"/>
      <c r="B59" s="39" t="n"/>
      <c r="C59" s="39" t="n"/>
      <c r="D59" s="39" t="n"/>
      <c r="E59" s="40" t="n"/>
      <c r="F59" s="39" t="n"/>
      <c r="G59" s="40">
        <f>IF(E59&lt;&gt;"",E59*F59,"")</f>
        <v/>
      </c>
      <c r="H59" s="39" t="n"/>
      <c r="I59" s="39" t="n"/>
      <c r="J59" s="1" t="n"/>
      <c r="K59" s="1" t="n"/>
      <c r="L59" s="1" t="n"/>
      <c r="M59" s="1" t="n"/>
    </row>
    <row r="60" ht="18" customHeight="1">
      <c r="A60" s="1" t="n"/>
      <c r="B60" s="33" t="n"/>
      <c r="C60" s="33" t="n"/>
      <c r="D60" s="33" t="n"/>
      <c r="E60" s="42" t="n"/>
      <c r="F60" s="33" t="n"/>
      <c r="G60" s="42">
        <f>IF(E60&lt;&gt;"",E60*F60,"")</f>
        <v/>
      </c>
      <c r="H60" s="33" t="n"/>
      <c r="I60" s="33" t="n"/>
      <c r="J60" s="1" t="n"/>
      <c r="K60" s="1" t="n"/>
      <c r="L60" s="1" t="n"/>
      <c r="M60" s="1" t="n"/>
    </row>
    <row r="61" ht="18" customHeight="1">
      <c r="A61" s="1" t="n"/>
      <c r="B61" s="39" t="n"/>
      <c r="C61" s="39" t="n"/>
      <c r="D61" s="39" t="n"/>
      <c r="E61" s="40" t="n"/>
      <c r="F61" s="39" t="n"/>
      <c r="G61" s="40">
        <f>IF(E61&lt;&gt;"",E61*F61,"")</f>
        <v/>
      </c>
      <c r="H61" s="39" t="n"/>
      <c r="I61" s="39" t="n"/>
      <c r="J61" s="1" t="n"/>
      <c r="K61" s="1" t="n"/>
      <c r="L61" s="1" t="n"/>
      <c r="M61" s="1" t="n"/>
    </row>
    <row r="62" ht="18" customHeight="1">
      <c r="A62" s="1" t="n"/>
      <c r="B62" s="33" t="n"/>
      <c r="C62" s="33" t="n"/>
      <c r="D62" s="33" t="n"/>
      <c r="E62" s="42" t="n"/>
      <c r="F62" s="33" t="n"/>
      <c r="G62" s="42">
        <f>IF(E62&lt;&gt;"",E62*F62,"")</f>
        <v/>
      </c>
      <c r="H62" s="33" t="n"/>
      <c r="I62" s="33" t="n"/>
      <c r="J62" s="1" t="n"/>
      <c r="K62" s="1" t="n"/>
      <c r="L62" s="1" t="n"/>
      <c r="M62" s="1" t="n"/>
    </row>
    <row r="63" ht="18" customHeight="1">
      <c r="A63" s="1" t="n"/>
      <c r="B63" s="39" t="n"/>
      <c r="C63" s="39" t="n"/>
      <c r="D63" s="39" t="n"/>
      <c r="E63" s="40" t="n"/>
      <c r="F63" s="39" t="n"/>
      <c r="G63" s="40">
        <f>IF(E63&lt;&gt;"",E63*F63,"")</f>
        <v/>
      </c>
      <c r="H63" s="39" t="n"/>
      <c r="I63" s="39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</sheetData>
  <mergeCells count="3">
    <mergeCell ref="B4:L4"/>
    <mergeCell ref="B2:M2"/>
    <mergeCell ref="B12:L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9973A"/>
    <outlinePr summaryBelow="1" summaryRight="1"/>
    <pageSetUpPr/>
  </sheetPr>
  <dimension ref="A1:M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30" customWidth="1" min="5" max="5"/>
    <col width="18" customWidth="1" min="6" max="6"/>
    <col width="13" customWidth="1" min="7" max="7"/>
    <col width="13" customWidth="1" min="8" max="8"/>
    <col width="13" customWidth="1" min="9" max="9"/>
    <col width="12" customWidth="1" min="10" max="10"/>
    <col width="14" customWidth="1" min="11" max="11"/>
    <col width="14" customWidth="1" min="12" max="12"/>
    <col width="28" customWidth="1" min="13" max="13"/>
  </cols>
  <sheetData>
    <row r="1" ht="32" customHeight="1">
      <c r="A1" s="149" t="inlineStr">
        <is>
          <t>📋  CONTRATOS &amp; TERMOS DE RESPONSABILIDADE — CENTRAL TATTOO</t>
        </is>
      </c>
    </row>
    <row r="2" ht="8" customHeight="1"/>
    <row r="3" ht="26" customHeight="1">
      <c r="A3" s="118" t="inlineStr">
        <is>
          <t>#</t>
        </is>
      </c>
      <c r="B3" s="118" t="inlineStr">
        <is>
          <t>CLIENTE</t>
        </is>
      </c>
      <c r="C3" s="118" t="inlineStr">
        <is>
          <t>DATA CONTRATO</t>
        </is>
      </c>
      <c r="D3" s="118" t="inlineStr">
        <is>
          <t>DATA SESSÃO</t>
        </is>
      </c>
      <c r="E3" s="118" t="inlineStr">
        <is>
          <t>SERVIÇO / DESCRIÇÃO</t>
        </is>
      </c>
      <c r="F3" s="118" t="inlineStr">
        <is>
          <t>REGIÃO DO CORPO</t>
        </is>
      </c>
      <c r="G3" s="118" t="inlineStr">
        <is>
          <t>VALOR TOTAL</t>
        </is>
      </c>
      <c r="H3" s="118" t="inlineStr">
        <is>
          <t>SINAL (R$)</t>
        </is>
      </c>
      <c r="I3" s="118" t="inlineStr">
        <is>
          <t>RESTANTE</t>
        </is>
      </c>
      <c r="J3" s="118" t="inlineStr">
        <is>
          <t>ASSINADO?</t>
        </is>
      </c>
      <c r="K3" s="118" t="inlineStr">
        <is>
          <t>PGTO</t>
        </is>
      </c>
      <c r="L3" s="118" t="inlineStr">
        <is>
          <t>FOTO CONSENT.</t>
        </is>
      </c>
      <c r="M3" s="118" t="inlineStr">
        <is>
          <t>ALERGIAS / OBS MÉDICAS</t>
        </is>
      </c>
    </row>
    <row r="4">
      <c r="A4" s="150">
        <f>IF(B4&lt;&gt;"",ROW()-3,"")</f>
        <v/>
      </c>
      <c r="B4" s="150" t="n"/>
      <c r="C4" s="151" t="n"/>
      <c r="D4" s="151" t="n"/>
      <c r="E4" s="150" t="n"/>
      <c r="F4" s="150" t="n"/>
      <c r="G4" s="152" t="n"/>
      <c r="H4" s="152" t="n"/>
      <c r="I4" s="152">
        <f>IF(AND(G4&lt;&gt;"",H4&lt;&gt;""),G4-H4,"")</f>
        <v/>
      </c>
      <c r="J4" s="150" t="n"/>
      <c r="K4" s="150" t="n"/>
      <c r="L4" s="150" t="n"/>
      <c r="M4" s="150" t="n"/>
    </row>
    <row r="5">
      <c r="A5" s="153">
        <f>IF(B5&lt;&gt;"",ROW()-3,"")</f>
        <v/>
      </c>
      <c r="B5" s="153" t="n"/>
      <c r="C5" s="154" t="n"/>
      <c r="D5" s="154" t="n"/>
      <c r="E5" s="153" t="n"/>
      <c r="F5" s="153" t="n"/>
      <c r="G5" s="155" t="n"/>
      <c r="H5" s="155" t="n"/>
      <c r="I5" s="155">
        <f>IF(AND(G5&lt;&gt;"",H5&lt;&gt;""),G5-H5,"")</f>
        <v/>
      </c>
      <c r="J5" s="153" t="n"/>
      <c r="K5" s="153" t="n"/>
      <c r="L5" s="153" t="n"/>
      <c r="M5" s="153" t="n"/>
    </row>
    <row r="6">
      <c r="A6" s="150">
        <f>IF(B6&lt;&gt;"",ROW()-3,"")</f>
        <v/>
      </c>
      <c r="B6" s="150" t="n"/>
      <c r="C6" s="151" t="n"/>
      <c r="D6" s="151" t="n"/>
      <c r="E6" s="150" t="n"/>
      <c r="F6" s="150" t="n"/>
      <c r="G6" s="152" t="n"/>
      <c r="H6" s="152" t="n"/>
      <c r="I6" s="152">
        <f>IF(AND(G6&lt;&gt;"",H6&lt;&gt;""),G6-H6,"")</f>
        <v/>
      </c>
      <c r="J6" s="150" t="n"/>
      <c r="K6" s="150" t="n"/>
      <c r="L6" s="150" t="n"/>
      <c r="M6" s="150" t="n"/>
    </row>
    <row r="7">
      <c r="A7" s="153">
        <f>IF(B7&lt;&gt;"",ROW()-3,"")</f>
        <v/>
      </c>
      <c r="B7" s="153" t="n"/>
      <c r="C7" s="154" t="n"/>
      <c r="D7" s="154" t="n"/>
      <c r="E7" s="153" t="n"/>
      <c r="F7" s="153" t="n"/>
      <c r="G7" s="155" t="n"/>
      <c r="H7" s="155" t="n"/>
      <c r="I7" s="155">
        <f>IF(AND(G7&lt;&gt;"",H7&lt;&gt;""),G7-H7,"")</f>
        <v/>
      </c>
      <c r="J7" s="153" t="n"/>
      <c r="K7" s="153" t="n"/>
      <c r="L7" s="153" t="n"/>
      <c r="M7" s="153" t="n"/>
    </row>
    <row r="8">
      <c r="A8" s="150">
        <f>IF(B8&lt;&gt;"",ROW()-3,"")</f>
        <v/>
      </c>
      <c r="B8" s="150" t="n"/>
      <c r="C8" s="151" t="n"/>
      <c r="D8" s="151" t="n"/>
      <c r="E8" s="150" t="n"/>
      <c r="F8" s="150" t="n"/>
      <c r="G8" s="152" t="n"/>
      <c r="H8" s="152" t="n"/>
      <c r="I8" s="152">
        <f>IF(AND(G8&lt;&gt;"",H8&lt;&gt;""),G8-H8,"")</f>
        <v/>
      </c>
      <c r="J8" s="150" t="n"/>
      <c r="K8" s="150" t="n"/>
      <c r="L8" s="150" t="n"/>
      <c r="M8" s="150" t="n"/>
    </row>
    <row r="9">
      <c r="A9" s="153">
        <f>IF(B9&lt;&gt;"",ROW()-3,"")</f>
        <v/>
      </c>
      <c r="B9" s="153" t="n"/>
      <c r="C9" s="154" t="n"/>
      <c r="D9" s="154" t="n"/>
      <c r="E9" s="153" t="n"/>
      <c r="F9" s="153" t="n"/>
      <c r="G9" s="155" t="n"/>
      <c r="H9" s="155" t="n"/>
      <c r="I9" s="155">
        <f>IF(AND(G9&lt;&gt;"",H9&lt;&gt;""),G9-H9,"")</f>
        <v/>
      </c>
      <c r="J9" s="153" t="n"/>
      <c r="K9" s="153" t="n"/>
      <c r="L9" s="153" t="n"/>
      <c r="M9" s="153" t="n"/>
    </row>
    <row r="10">
      <c r="A10" s="150">
        <f>IF(B10&lt;&gt;"",ROW()-3,"")</f>
        <v/>
      </c>
      <c r="B10" s="150" t="n"/>
      <c r="C10" s="151" t="n"/>
      <c r="D10" s="151" t="n"/>
      <c r="E10" s="150" t="n"/>
      <c r="F10" s="150" t="n"/>
      <c r="G10" s="152" t="n"/>
      <c r="H10" s="152" t="n"/>
      <c r="I10" s="152">
        <f>IF(AND(G10&lt;&gt;"",H10&lt;&gt;""),G10-H10,"")</f>
        <v/>
      </c>
      <c r="J10" s="150" t="n"/>
      <c r="K10" s="150" t="n"/>
      <c r="L10" s="150" t="n"/>
      <c r="M10" s="150" t="n"/>
    </row>
    <row r="11">
      <c r="A11" s="153">
        <f>IF(B11&lt;&gt;"",ROW()-3,"")</f>
        <v/>
      </c>
      <c r="B11" s="153" t="n"/>
      <c r="C11" s="154" t="n"/>
      <c r="D11" s="154" t="n"/>
      <c r="E11" s="153" t="n"/>
      <c r="F11" s="153" t="n"/>
      <c r="G11" s="155" t="n"/>
      <c r="H11" s="155" t="n"/>
      <c r="I11" s="155">
        <f>IF(AND(G11&lt;&gt;"",H11&lt;&gt;""),G11-H11,"")</f>
        <v/>
      </c>
      <c r="J11" s="153" t="n"/>
      <c r="K11" s="153" t="n"/>
      <c r="L11" s="153" t="n"/>
      <c r="M11" s="153" t="n"/>
    </row>
    <row r="12">
      <c r="A12" s="150">
        <f>IF(B12&lt;&gt;"",ROW()-3,"")</f>
        <v/>
      </c>
      <c r="B12" s="150" t="n"/>
      <c r="C12" s="151" t="n"/>
      <c r="D12" s="151" t="n"/>
      <c r="E12" s="150" t="n"/>
      <c r="F12" s="150" t="n"/>
      <c r="G12" s="152" t="n"/>
      <c r="H12" s="152" t="n"/>
      <c r="I12" s="152">
        <f>IF(AND(G12&lt;&gt;"",H12&lt;&gt;""),G12-H12,"")</f>
        <v/>
      </c>
      <c r="J12" s="150" t="n"/>
      <c r="K12" s="150" t="n"/>
      <c r="L12" s="150" t="n"/>
      <c r="M12" s="150" t="n"/>
    </row>
    <row r="13">
      <c r="A13" s="153">
        <f>IF(B13&lt;&gt;"",ROW()-3,"")</f>
        <v/>
      </c>
      <c r="B13" s="153" t="n"/>
      <c r="C13" s="154" t="n"/>
      <c r="D13" s="154" t="n"/>
      <c r="E13" s="153" t="n"/>
      <c r="F13" s="153" t="n"/>
      <c r="G13" s="155" t="n"/>
      <c r="H13" s="155" t="n"/>
      <c r="I13" s="155">
        <f>IF(AND(G13&lt;&gt;"",H13&lt;&gt;""),G13-H13,"")</f>
        <v/>
      </c>
      <c r="J13" s="153" t="n"/>
      <c r="K13" s="153" t="n"/>
      <c r="L13" s="153" t="n"/>
      <c r="M13" s="153" t="n"/>
    </row>
    <row r="14">
      <c r="A14" s="150">
        <f>IF(B14&lt;&gt;"",ROW()-3,"")</f>
        <v/>
      </c>
      <c r="B14" s="150" t="n"/>
      <c r="C14" s="151" t="n"/>
      <c r="D14" s="151" t="n"/>
      <c r="E14" s="150" t="n"/>
      <c r="F14" s="150" t="n"/>
      <c r="G14" s="152" t="n"/>
      <c r="H14" s="152" t="n"/>
      <c r="I14" s="152">
        <f>IF(AND(G14&lt;&gt;"",H14&lt;&gt;""),G14-H14,"")</f>
        <v/>
      </c>
      <c r="J14" s="150" t="n"/>
      <c r="K14" s="150" t="n"/>
      <c r="L14" s="150" t="n"/>
      <c r="M14" s="150" t="n"/>
    </row>
    <row r="15">
      <c r="A15" s="153">
        <f>IF(B15&lt;&gt;"",ROW()-3,"")</f>
        <v/>
      </c>
      <c r="B15" s="153" t="n"/>
      <c r="C15" s="154" t="n"/>
      <c r="D15" s="154" t="n"/>
      <c r="E15" s="153" t="n"/>
      <c r="F15" s="153" t="n"/>
      <c r="G15" s="155" t="n"/>
      <c r="H15" s="155" t="n"/>
      <c r="I15" s="155">
        <f>IF(AND(G15&lt;&gt;"",H15&lt;&gt;""),G15-H15,"")</f>
        <v/>
      </c>
      <c r="J15" s="153" t="n"/>
      <c r="K15" s="153" t="n"/>
      <c r="L15" s="153" t="n"/>
      <c r="M15" s="153" t="n"/>
    </row>
    <row r="16">
      <c r="A16" s="150">
        <f>IF(B16&lt;&gt;"",ROW()-3,"")</f>
        <v/>
      </c>
      <c r="B16" s="150" t="n"/>
      <c r="C16" s="151" t="n"/>
      <c r="D16" s="151" t="n"/>
      <c r="E16" s="150" t="n"/>
      <c r="F16" s="150" t="n"/>
      <c r="G16" s="152" t="n"/>
      <c r="H16" s="152" t="n"/>
      <c r="I16" s="152">
        <f>IF(AND(G16&lt;&gt;"",H16&lt;&gt;""),G16-H16,"")</f>
        <v/>
      </c>
      <c r="J16" s="150" t="n"/>
      <c r="K16" s="150" t="n"/>
      <c r="L16" s="150" t="n"/>
      <c r="M16" s="150" t="n"/>
    </row>
    <row r="17">
      <c r="A17" s="153">
        <f>IF(B17&lt;&gt;"",ROW()-3,"")</f>
        <v/>
      </c>
      <c r="B17" s="153" t="n"/>
      <c r="C17" s="154" t="n"/>
      <c r="D17" s="154" t="n"/>
      <c r="E17" s="153" t="n"/>
      <c r="F17" s="153" t="n"/>
      <c r="G17" s="155" t="n"/>
      <c r="H17" s="155" t="n"/>
      <c r="I17" s="155">
        <f>IF(AND(G17&lt;&gt;"",H17&lt;&gt;""),G17-H17,"")</f>
        <v/>
      </c>
      <c r="J17" s="153" t="n"/>
      <c r="K17" s="153" t="n"/>
      <c r="L17" s="153" t="n"/>
      <c r="M17" s="153" t="n"/>
    </row>
    <row r="18">
      <c r="A18" s="150">
        <f>IF(B18&lt;&gt;"",ROW()-3,"")</f>
        <v/>
      </c>
      <c r="B18" s="150" t="n"/>
      <c r="C18" s="151" t="n"/>
      <c r="D18" s="151" t="n"/>
      <c r="E18" s="150" t="n"/>
      <c r="F18" s="150" t="n"/>
      <c r="G18" s="152" t="n"/>
      <c r="H18" s="152" t="n"/>
      <c r="I18" s="152">
        <f>IF(AND(G18&lt;&gt;"",H18&lt;&gt;""),G18-H18,"")</f>
        <v/>
      </c>
      <c r="J18" s="150" t="n"/>
      <c r="K18" s="150" t="n"/>
      <c r="L18" s="150" t="n"/>
      <c r="M18" s="150" t="n"/>
    </row>
    <row r="19">
      <c r="A19" s="153">
        <f>IF(B19&lt;&gt;"",ROW()-3,"")</f>
        <v/>
      </c>
      <c r="B19" s="153" t="n"/>
      <c r="C19" s="154" t="n"/>
      <c r="D19" s="154" t="n"/>
      <c r="E19" s="153" t="n"/>
      <c r="F19" s="153" t="n"/>
      <c r="G19" s="155" t="n"/>
      <c r="H19" s="155" t="n"/>
      <c r="I19" s="155">
        <f>IF(AND(G19&lt;&gt;"",H19&lt;&gt;""),G19-H19,"")</f>
        <v/>
      </c>
      <c r="J19" s="153" t="n"/>
      <c r="K19" s="153" t="n"/>
      <c r="L19" s="153" t="n"/>
      <c r="M19" s="153" t="n"/>
    </row>
    <row r="20">
      <c r="A20" s="150">
        <f>IF(B20&lt;&gt;"",ROW()-3,"")</f>
        <v/>
      </c>
      <c r="B20" s="150" t="n"/>
      <c r="C20" s="151" t="n"/>
      <c r="D20" s="151" t="n"/>
      <c r="E20" s="150" t="n"/>
      <c r="F20" s="150" t="n"/>
      <c r="G20" s="152" t="n"/>
      <c r="H20" s="152" t="n"/>
      <c r="I20" s="152">
        <f>IF(AND(G20&lt;&gt;"",H20&lt;&gt;""),G20-H20,"")</f>
        <v/>
      </c>
      <c r="J20" s="150" t="n"/>
      <c r="K20" s="150" t="n"/>
      <c r="L20" s="150" t="n"/>
      <c r="M20" s="150" t="n"/>
    </row>
    <row r="21">
      <c r="A21" s="153">
        <f>IF(B21&lt;&gt;"",ROW()-3,"")</f>
        <v/>
      </c>
      <c r="B21" s="153" t="n"/>
      <c r="C21" s="154" t="n"/>
      <c r="D21" s="154" t="n"/>
      <c r="E21" s="153" t="n"/>
      <c r="F21" s="153" t="n"/>
      <c r="G21" s="155" t="n"/>
      <c r="H21" s="155" t="n"/>
      <c r="I21" s="155">
        <f>IF(AND(G21&lt;&gt;"",H21&lt;&gt;""),G21-H21,"")</f>
        <v/>
      </c>
      <c r="J21" s="153" t="n"/>
      <c r="K21" s="153" t="n"/>
      <c r="L21" s="153" t="n"/>
      <c r="M21" s="153" t="n"/>
    </row>
    <row r="22">
      <c r="A22" s="150">
        <f>IF(B22&lt;&gt;"",ROW()-3,"")</f>
        <v/>
      </c>
      <c r="B22" s="150" t="n"/>
      <c r="C22" s="151" t="n"/>
      <c r="D22" s="151" t="n"/>
      <c r="E22" s="150" t="n"/>
      <c r="F22" s="150" t="n"/>
      <c r="G22" s="152" t="n"/>
      <c r="H22" s="152" t="n"/>
      <c r="I22" s="152">
        <f>IF(AND(G22&lt;&gt;"",H22&lt;&gt;""),G22-H22,"")</f>
        <v/>
      </c>
      <c r="J22" s="150" t="n"/>
      <c r="K22" s="150" t="n"/>
      <c r="L22" s="150" t="n"/>
      <c r="M22" s="150" t="n"/>
    </row>
    <row r="23">
      <c r="A23" s="153">
        <f>IF(B23&lt;&gt;"",ROW()-3,"")</f>
        <v/>
      </c>
      <c r="B23" s="153" t="n"/>
      <c r="C23" s="154" t="n"/>
      <c r="D23" s="154" t="n"/>
      <c r="E23" s="153" t="n"/>
      <c r="F23" s="153" t="n"/>
      <c r="G23" s="155" t="n"/>
      <c r="H23" s="155" t="n"/>
      <c r="I23" s="155">
        <f>IF(AND(G23&lt;&gt;"",H23&lt;&gt;""),G23-H23,"")</f>
        <v/>
      </c>
      <c r="J23" s="153" t="n"/>
      <c r="K23" s="153" t="n"/>
      <c r="L23" s="153" t="n"/>
      <c r="M23" s="153" t="n"/>
    </row>
    <row r="24">
      <c r="A24" s="150">
        <f>IF(B24&lt;&gt;"",ROW()-3,"")</f>
        <v/>
      </c>
      <c r="B24" s="150" t="n"/>
      <c r="C24" s="151" t="n"/>
      <c r="D24" s="151" t="n"/>
      <c r="E24" s="150" t="n"/>
      <c r="F24" s="150" t="n"/>
      <c r="G24" s="152" t="n"/>
      <c r="H24" s="152" t="n"/>
      <c r="I24" s="152">
        <f>IF(AND(G24&lt;&gt;"",H24&lt;&gt;""),G24-H24,"")</f>
        <v/>
      </c>
      <c r="J24" s="150" t="n"/>
      <c r="K24" s="150" t="n"/>
      <c r="L24" s="150" t="n"/>
      <c r="M24" s="150" t="n"/>
    </row>
    <row r="25">
      <c r="A25" s="153">
        <f>IF(B25&lt;&gt;"",ROW()-3,"")</f>
        <v/>
      </c>
      <c r="B25" s="153" t="n"/>
      <c r="C25" s="154" t="n"/>
      <c r="D25" s="154" t="n"/>
      <c r="E25" s="153" t="n"/>
      <c r="F25" s="153" t="n"/>
      <c r="G25" s="155" t="n"/>
      <c r="H25" s="155" t="n"/>
      <c r="I25" s="155">
        <f>IF(AND(G25&lt;&gt;"",H25&lt;&gt;""),G25-H25,"")</f>
        <v/>
      </c>
      <c r="J25" s="153" t="n"/>
      <c r="K25" s="153" t="n"/>
      <c r="L25" s="153" t="n"/>
      <c r="M25" s="153" t="n"/>
    </row>
    <row r="26">
      <c r="A26" s="150">
        <f>IF(B26&lt;&gt;"",ROW()-3,"")</f>
        <v/>
      </c>
      <c r="B26" s="150" t="n"/>
      <c r="C26" s="151" t="n"/>
      <c r="D26" s="151" t="n"/>
      <c r="E26" s="150" t="n"/>
      <c r="F26" s="150" t="n"/>
      <c r="G26" s="152" t="n"/>
      <c r="H26" s="152" t="n"/>
      <c r="I26" s="152">
        <f>IF(AND(G26&lt;&gt;"",H26&lt;&gt;""),G26-H26,"")</f>
        <v/>
      </c>
      <c r="J26" s="150" t="n"/>
      <c r="K26" s="150" t="n"/>
      <c r="L26" s="150" t="n"/>
      <c r="M26" s="150" t="n"/>
    </row>
    <row r="27">
      <c r="A27" s="153">
        <f>IF(B27&lt;&gt;"",ROW()-3,"")</f>
        <v/>
      </c>
      <c r="B27" s="153" t="n"/>
      <c r="C27" s="154" t="n"/>
      <c r="D27" s="154" t="n"/>
      <c r="E27" s="153" t="n"/>
      <c r="F27" s="153" t="n"/>
      <c r="G27" s="155" t="n"/>
      <c r="H27" s="155" t="n"/>
      <c r="I27" s="155">
        <f>IF(AND(G27&lt;&gt;"",H27&lt;&gt;""),G27-H27,"")</f>
        <v/>
      </c>
      <c r="J27" s="153" t="n"/>
      <c r="K27" s="153" t="n"/>
      <c r="L27" s="153" t="n"/>
      <c r="M27" s="153" t="n"/>
    </row>
    <row r="28">
      <c r="A28" s="150">
        <f>IF(B28&lt;&gt;"",ROW()-3,"")</f>
        <v/>
      </c>
      <c r="B28" s="150" t="n"/>
      <c r="C28" s="151" t="n"/>
      <c r="D28" s="151" t="n"/>
      <c r="E28" s="150" t="n"/>
      <c r="F28" s="150" t="n"/>
      <c r="G28" s="152" t="n"/>
      <c r="H28" s="152" t="n"/>
      <c r="I28" s="152">
        <f>IF(AND(G28&lt;&gt;"",H28&lt;&gt;""),G28-H28,"")</f>
        <v/>
      </c>
      <c r="J28" s="150" t="n"/>
      <c r="K28" s="150" t="n"/>
      <c r="L28" s="150" t="n"/>
      <c r="M28" s="150" t="n"/>
    </row>
    <row r="29">
      <c r="A29" s="153">
        <f>IF(B29&lt;&gt;"",ROW()-3,"")</f>
        <v/>
      </c>
      <c r="B29" s="153" t="n"/>
      <c r="C29" s="154" t="n"/>
      <c r="D29" s="154" t="n"/>
      <c r="E29" s="153" t="n"/>
      <c r="F29" s="153" t="n"/>
      <c r="G29" s="155" t="n"/>
      <c r="H29" s="155" t="n"/>
      <c r="I29" s="155">
        <f>IF(AND(G29&lt;&gt;"",H29&lt;&gt;""),G29-H29,"")</f>
        <v/>
      </c>
      <c r="J29" s="153" t="n"/>
      <c r="K29" s="153" t="n"/>
      <c r="L29" s="153" t="n"/>
      <c r="M29" s="153" t="n"/>
    </row>
    <row r="30">
      <c r="A30" s="150">
        <f>IF(B30&lt;&gt;"",ROW()-3,"")</f>
        <v/>
      </c>
      <c r="B30" s="150" t="n"/>
      <c r="C30" s="151" t="n"/>
      <c r="D30" s="151" t="n"/>
      <c r="E30" s="150" t="n"/>
      <c r="F30" s="150" t="n"/>
      <c r="G30" s="152" t="n"/>
      <c r="H30" s="152" t="n"/>
      <c r="I30" s="152">
        <f>IF(AND(G30&lt;&gt;"",H30&lt;&gt;""),G30-H30,"")</f>
        <v/>
      </c>
      <c r="J30" s="150" t="n"/>
      <c r="K30" s="150" t="n"/>
      <c r="L30" s="150" t="n"/>
      <c r="M30" s="150" t="n"/>
    </row>
    <row r="31">
      <c r="A31" s="153">
        <f>IF(B31&lt;&gt;"",ROW()-3,"")</f>
        <v/>
      </c>
      <c r="B31" s="153" t="n"/>
      <c r="C31" s="154" t="n"/>
      <c r="D31" s="154" t="n"/>
      <c r="E31" s="153" t="n"/>
      <c r="F31" s="153" t="n"/>
      <c r="G31" s="155" t="n"/>
      <c r="H31" s="155" t="n"/>
      <c r="I31" s="155">
        <f>IF(AND(G31&lt;&gt;"",H31&lt;&gt;""),G31-H31,"")</f>
        <v/>
      </c>
      <c r="J31" s="153" t="n"/>
      <c r="K31" s="153" t="n"/>
      <c r="L31" s="153" t="n"/>
      <c r="M31" s="153" t="n"/>
    </row>
    <row r="32">
      <c r="A32" s="150">
        <f>IF(B32&lt;&gt;"",ROW()-3,"")</f>
        <v/>
      </c>
      <c r="B32" s="150" t="n"/>
      <c r="C32" s="151" t="n"/>
      <c r="D32" s="151" t="n"/>
      <c r="E32" s="150" t="n"/>
      <c r="F32" s="150" t="n"/>
      <c r="G32" s="152" t="n"/>
      <c r="H32" s="152" t="n"/>
      <c r="I32" s="152">
        <f>IF(AND(G32&lt;&gt;"",H32&lt;&gt;""),G32-H32,"")</f>
        <v/>
      </c>
      <c r="J32" s="150" t="n"/>
      <c r="K32" s="150" t="n"/>
      <c r="L32" s="150" t="n"/>
      <c r="M32" s="150" t="n"/>
    </row>
    <row r="33">
      <c r="A33" s="153">
        <f>IF(B33&lt;&gt;"",ROW()-3,"")</f>
        <v/>
      </c>
      <c r="B33" s="153" t="n"/>
      <c r="C33" s="154" t="n"/>
      <c r="D33" s="154" t="n"/>
      <c r="E33" s="153" t="n"/>
      <c r="F33" s="153" t="n"/>
      <c r="G33" s="155" t="n"/>
      <c r="H33" s="155" t="n"/>
      <c r="I33" s="155">
        <f>IF(AND(G33&lt;&gt;"",H33&lt;&gt;""),G33-H33,"")</f>
        <v/>
      </c>
      <c r="J33" s="153" t="n"/>
      <c r="K33" s="153" t="n"/>
      <c r="L33" s="153" t="n"/>
      <c r="M33" s="153" t="n"/>
    </row>
    <row r="34">
      <c r="A34" s="150">
        <f>IF(B34&lt;&gt;"",ROW()-3,"")</f>
        <v/>
      </c>
      <c r="B34" s="150" t="n"/>
      <c r="C34" s="151" t="n"/>
      <c r="D34" s="151" t="n"/>
      <c r="E34" s="150" t="n"/>
      <c r="F34" s="150" t="n"/>
      <c r="G34" s="152" t="n"/>
      <c r="H34" s="152" t="n"/>
      <c r="I34" s="152">
        <f>IF(AND(G34&lt;&gt;"",H34&lt;&gt;""),G34-H34,"")</f>
        <v/>
      </c>
      <c r="J34" s="150" t="n"/>
      <c r="K34" s="150" t="n"/>
      <c r="L34" s="150" t="n"/>
      <c r="M34" s="150" t="n"/>
    </row>
    <row r="35">
      <c r="A35" s="153">
        <f>IF(B35&lt;&gt;"",ROW()-3,"")</f>
        <v/>
      </c>
      <c r="B35" s="153" t="n"/>
      <c r="C35" s="154" t="n"/>
      <c r="D35" s="154" t="n"/>
      <c r="E35" s="153" t="n"/>
      <c r="F35" s="153" t="n"/>
      <c r="G35" s="155" t="n"/>
      <c r="H35" s="155" t="n"/>
      <c r="I35" s="155">
        <f>IF(AND(G35&lt;&gt;"",H35&lt;&gt;""),G35-H35,"")</f>
        <v/>
      </c>
      <c r="J35" s="153" t="n"/>
      <c r="K35" s="153" t="n"/>
      <c r="L35" s="153" t="n"/>
      <c r="M35" s="153" t="n"/>
    </row>
    <row r="36">
      <c r="A36" s="150">
        <f>IF(B36&lt;&gt;"",ROW()-3,"")</f>
        <v/>
      </c>
      <c r="B36" s="150" t="n"/>
      <c r="C36" s="151" t="n"/>
      <c r="D36" s="151" t="n"/>
      <c r="E36" s="150" t="n"/>
      <c r="F36" s="150" t="n"/>
      <c r="G36" s="152" t="n"/>
      <c r="H36" s="152" t="n"/>
      <c r="I36" s="152">
        <f>IF(AND(G36&lt;&gt;"",H36&lt;&gt;""),G36-H36,"")</f>
        <v/>
      </c>
      <c r="J36" s="150" t="n"/>
      <c r="K36" s="150" t="n"/>
      <c r="L36" s="150" t="n"/>
      <c r="M36" s="150" t="n"/>
    </row>
    <row r="37">
      <c r="A37" s="153">
        <f>IF(B37&lt;&gt;"",ROW()-3,"")</f>
        <v/>
      </c>
      <c r="B37" s="153" t="n"/>
      <c r="C37" s="154" t="n"/>
      <c r="D37" s="154" t="n"/>
      <c r="E37" s="153" t="n"/>
      <c r="F37" s="153" t="n"/>
      <c r="G37" s="155" t="n"/>
      <c r="H37" s="155" t="n"/>
      <c r="I37" s="155">
        <f>IF(AND(G37&lt;&gt;"",H37&lt;&gt;""),G37-H37,"")</f>
        <v/>
      </c>
      <c r="J37" s="153" t="n"/>
      <c r="K37" s="153" t="n"/>
      <c r="L37" s="153" t="n"/>
      <c r="M37" s="153" t="n"/>
    </row>
    <row r="38">
      <c r="A38" s="150">
        <f>IF(B38&lt;&gt;"",ROW()-3,"")</f>
        <v/>
      </c>
      <c r="B38" s="150" t="n"/>
      <c r="C38" s="151" t="n"/>
      <c r="D38" s="151" t="n"/>
      <c r="E38" s="150" t="n"/>
      <c r="F38" s="150" t="n"/>
      <c r="G38" s="152" t="n"/>
      <c r="H38" s="152" t="n"/>
      <c r="I38" s="152">
        <f>IF(AND(G38&lt;&gt;"",H38&lt;&gt;""),G38-H38,"")</f>
        <v/>
      </c>
      <c r="J38" s="150" t="n"/>
      <c r="K38" s="150" t="n"/>
      <c r="L38" s="150" t="n"/>
      <c r="M38" s="150" t="n"/>
    </row>
    <row r="39">
      <c r="A39" s="153">
        <f>IF(B39&lt;&gt;"",ROW()-3,"")</f>
        <v/>
      </c>
      <c r="B39" s="153" t="n"/>
      <c r="C39" s="154" t="n"/>
      <c r="D39" s="154" t="n"/>
      <c r="E39" s="153" t="n"/>
      <c r="F39" s="153" t="n"/>
      <c r="G39" s="155" t="n"/>
      <c r="H39" s="155" t="n"/>
      <c r="I39" s="155">
        <f>IF(AND(G39&lt;&gt;"",H39&lt;&gt;""),G39-H39,"")</f>
        <v/>
      </c>
      <c r="J39" s="153" t="n"/>
      <c r="K39" s="153" t="n"/>
      <c r="L39" s="153" t="n"/>
      <c r="M39" s="153" t="n"/>
    </row>
    <row r="40">
      <c r="A40" s="150">
        <f>IF(B40&lt;&gt;"",ROW()-3,"")</f>
        <v/>
      </c>
      <c r="B40" s="150" t="n"/>
      <c r="C40" s="151" t="n"/>
      <c r="D40" s="151" t="n"/>
      <c r="E40" s="150" t="n"/>
      <c r="F40" s="150" t="n"/>
      <c r="G40" s="152" t="n"/>
      <c r="H40" s="152" t="n"/>
      <c r="I40" s="152">
        <f>IF(AND(G40&lt;&gt;"",H40&lt;&gt;""),G40-H40,"")</f>
        <v/>
      </c>
      <c r="J40" s="150" t="n"/>
      <c r="K40" s="150" t="n"/>
      <c r="L40" s="150" t="n"/>
      <c r="M40" s="150" t="n"/>
    </row>
    <row r="41">
      <c r="A41" s="153">
        <f>IF(B41&lt;&gt;"",ROW()-3,"")</f>
        <v/>
      </c>
      <c r="B41" s="153" t="n"/>
      <c r="C41" s="154" t="n"/>
      <c r="D41" s="154" t="n"/>
      <c r="E41" s="153" t="n"/>
      <c r="F41" s="153" t="n"/>
      <c r="G41" s="155" t="n"/>
      <c r="H41" s="155" t="n"/>
      <c r="I41" s="155">
        <f>IF(AND(G41&lt;&gt;"",H41&lt;&gt;""),G41-H41,"")</f>
        <v/>
      </c>
      <c r="J41" s="153" t="n"/>
      <c r="K41" s="153" t="n"/>
      <c r="L41" s="153" t="n"/>
      <c r="M41" s="153" t="n"/>
    </row>
    <row r="42">
      <c r="A42" s="150">
        <f>IF(B42&lt;&gt;"",ROW()-3,"")</f>
        <v/>
      </c>
      <c r="B42" s="150" t="n"/>
      <c r="C42" s="151" t="n"/>
      <c r="D42" s="151" t="n"/>
      <c r="E42" s="150" t="n"/>
      <c r="F42" s="150" t="n"/>
      <c r="G42" s="152" t="n"/>
      <c r="H42" s="152" t="n"/>
      <c r="I42" s="152">
        <f>IF(AND(G42&lt;&gt;"",H42&lt;&gt;""),G42-H42,"")</f>
        <v/>
      </c>
      <c r="J42" s="150" t="n"/>
      <c r="K42" s="150" t="n"/>
      <c r="L42" s="150" t="n"/>
      <c r="M42" s="150" t="n"/>
    </row>
    <row r="43">
      <c r="A43" s="153">
        <f>IF(B43&lt;&gt;"",ROW()-3,"")</f>
        <v/>
      </c>
      <c r="B43" s="153" t="n"/>
      <c r="C43" s="154" t="n"/>
      <c r="D43" s="154" t="n"/>
      <c r="E43" s="153" t="n"/>
      <c r="F43" s="153" t="n"/>
      <c r="G43" s="155" t="n"/>
      <c r="H43" s="155" t="n"/>
      <c r="I43" s="155">
        <f>IF(AND(G43&lt;&gt;"",H43&lt;&gt;""),G43-H43,"")</f>
        <v/>
      </c>
      <c r="J43" s="153" t="n"/>
      <c r="K43" s="153" t="n"/>
      <c r="L43" s="153" t="n"/>
      <c r="M43" s="153" t="n"/>
    </row>
    <row r="44">
      <c r="A44" s="150">
        <f>IF(B44&lt;&gt;"",ROW()-3,"")</f>
        <v/>
      </c>
      <c r="B44" s="150" t="n"/>
      <c r="C44" s="151" t="n"/>
      <c r="D44" s="151" t="n"/>
      <c r="E44" s="150" t="n"/>
      <c r="F44" s="150" t="n"/>
      <c r="G44" s="152" t="n"/>
      <c r="H44" s="152" t="n"/>
      <c r="I44" s="152">
        <f>IF(AND(G44&lt;&gt;"",H44&lt;&gt;""),G44-H44,"")</f>
        <v/>
      </c>
      <c r="J44" s="150" t="n"/>
      <c r="K44" s="150" t="n"/>
      <c r="L44" s="150" t="n"/>
      <c r="M44" s="150" t="n"/>
    </row>
    <row r="45">
      <c r="A45" s="153">
        <f>IF(B45&lt;&gt;"",ROW()-3,"")</f>
        <v/>
      </c>
      <c r="B45" s="153" t="n"/>
      <c r="C45" s="154" t="n"/>
      <c r="D45" s="154" t="n"/>
      <c r="E45" s="153" t="n"/>
      <c r="F45" s="153" t="n"/>
      <c r="G45" s="155" t="n"/>
      <c r="H45" s="155" t="n"/>
      <c r="I45" s="155">
        <f>IF(AND(G45&lt;&gt;"",H45&lt;&gt;""),G45-H45,"")</f>
        <v/>
      </c>
      <c r="J45" s="153" t="n"/>
      <c r="K45" s="153" t="n"/>
      <c r="L45" s="153" t="n"/>
      <c r="M45" s="153" t="n"/>
    </row>
    <row r="46">
      <c r="A46" s="150">
        <f>IF(B46&lt;&gt;"",ROW()-3,"")</f>
        <v/>
      </c>
      <c r="B46" s="150" t="n"/>
      <c r="C46" s="151" t="n"/>
      <c r="D46" s="151" t="n"/>
      <c r="E46" s="150" t="n"/>
      <c r="F46" s="150" t="n"/>
      <c r="G46" s="152" t="n"/>
      <c r="H46" s="152" t="n"/>
      <c r="I46" s="152">
        <f>IF(AND(G46&lt;&gt;"",H46&lt;&gt;""),G46-H46,"")</f>
        <v/>
      </c>
      <c r="J46" s="150" t="n"/>
      <c r="K46" s="150" t="n"/>
      <c r="L46" s="150" t="n"/>
      <c r="M46" s="150" t="n"/>
    </row>
    <row r="47">
      <c r="A47" s="153">
        <f>IF(B47&lt;&gt;"",ROW()-3,"")</f>
        <v/>
      </c>
      <c r="B47" s="153" t="n"/>
      <c r="C47" s="154" t="n"/>
      <c r="D47" s="154" t="n"/>
      <c r="E47" s="153" t="n"/>
      <c r="F47" s="153" t="n"/>
      <c r="G47" s="155" t="n"/>
      <c r="H47" s="155" t="n"/>
      <c r="I47" s="155">
        <f>IF(AND(G47&lt;&gt;"",H47&lt;&gt;""),G47-H47,"")</f>
        <v/>
      </c>
      <c r="J47" s="153" t="n"/>
      <c r="K47" s="153" t="n"/>
      <c r="L47" s="153" t="n"/>
      <c r="M47" s="153" t="n"/>
    </row>
    <row r="48">
      <c r="A48" s="150">
        <f>IF(B48&lt;&gt;"",ROW()-3,"")</f>
        <v/>
      </c>
      <c r="B48" s="150" t="n"/>
      <c r="C48" s="151" t="n"/>
      <c r="D48" s="151" t="n"/>
      <c r="E48" s="150" t="n"/>
      <c r="F48" s="150" t="n"/>
      <c r="G48" s="152" t="n"/>
      <c r="H48" s="152" t="n"/>
      <c r="I48" s="152">
        <f>IF(AND(G48&lt;&gt;"",H48&lt;&gt;""),G48-H48,"")</f>
        <v/>
      </c>
      <c r="J48" s="150" t="n"/>
      <c r="K48" s="150" t="n"/>
      <c r="L48" s="150" t="n"/>
      <c r="M48" s="150" t="n"/>
    </row>
    <row r="49">
      <c r="A49" s="153">
        <f>IF(B49&lt;&gt;"",ROW()-3,"")</f>
        <v/>
      </c>
      <c r="B49" s="153" t="n"/>
      <c r="C49" s="154" t="n"/>
      <c r="D49" s="154" t="n"/>
      <c r="E49" s="153" t="n"/>
      <c r="F49" s="153" t="n"/>
      <c r="G49" s="155" t="n"/>
      <c r="H49" s="155" t="n"/>
      <c r="I49" s="155">
        <f>IF(AND(G49&lt;&gt;"",H49&lt;&gt;""),G49-H49,"")</f>
        <v/>
      </c>
      <c r="J49" s="153" t="n"/>
      <c r="K49" s="153" t="n"/>
      <c r="L49" s="153" t="n"/>
      <c r="M49" s="153" t="n"/>
    </row>
    <row r="50">
      <c r="A50" s="150">
        <f>IF(B50&lt;&gt;"",ROW()-3,"")</f>
        <v/>
      </c>
      <c r="B50" s="150" t="n"/>
      <c r="C50" s="151" t="n"/>
      <c r="D50" s="151" t="n"/>
      <c r="E50" s="150" t="n"/>
      <c r="F50" s="150" t="n"/>
      <c r="G50" s="152" t="n"/>
      <c r="H50" s="152" t="n"/>
      <c r="I50" s="152">
        <f>IF(AND(G50&lt;&gt;"",H50&lt;&gt;""),G50-H50,"")</f>
        <v/>
      </c>
      <c r="J50" s="150" t="n"/>
      <c r="K50" s="150" t="n"/>
      <c r="L50" s="150" t="n"/>
      <c r="M50" s="150" t="n"/>
    </row>
    <row r="51">
      <c r="A51" s="153">
        <f>IF(B51&lt;&gt;"",ROW()-3,"")</f>
        <v/>
      </c>
      <c r="B51" s="153" t="n"/>
      <c r="C51" s="154" t="n"/>
      <c r="D51" s="154" t="n"/>
      <c r="E51" s="153" t="n"/>
      <c r="F51" s="153" t="n"/>
      <c r="G51" s="155" t="n"/>
      <c r="H51" s="155" t="n"/>
      <c r="I51" s="155">
        <f>IF(AND(G51&lt;&gt;"",H51&lt;&gt;""),G51-H51,"")</f>
        <v/>
      </c>
      <c r="J51" s="153" t="n"/>
      <c r="K51" s="153" t="n"/>
      <c r="L51" s="153" t="n"/>
      <c r="M51" s="153" t="n"/>
    </row>
    <row r="52">
      <c r="A52" s="150">
        <f>IF(B52&lt;&gt;"",ROW()-3,"")</f>
        <v/>
      </c>
      <c r="B52" s="150" t="n"/>
      <c r="C52" s="151" t="n"/>
      <c r="D52" s="151" t="n"/>
      <c r="E52" s="150" t="n"/>
      <c r="F52" s="150" t="n"/>
      <c r="G52" s="152" t="n"/>
      <c r="H52" s="152" t="n"/>
      <c r="I52" s="152">
        <f>IF(AND(G52&lt;&gt;"",H52&lt;&gt;""),G52-H52,"")</f>
        <v/>
      </c>
      <c r="J52" s="150" t="n"/>
      <c r="K52" s="150" t="n"/>
      <c r="L52" s="150" t="n"/>
      <c r="M52" s="150" t="n"/>
    </row>
    <row r="53">
      <c r="A53" s="153">
        <f>IF(B53&lt;&gt;"",ROW()-3,"")</f>
        <v/>
      </c>
      <c r="B53" s="153" t="n"/>
      <c r="C53" s="154" t="n"/>
      <c r="D53" s="154" t="n"/>
      <c r="E53" s="153" t="n"/>
      <c r="F53" s="153" t="n"/>
      <c r="G53" s="155" t="n"/>
      <c r="H53" s="155" t="n"/>
      <c r="I53" s="155">
        <f>IF(AND(G53&lt;&gt;"",H53&lt;&gt;""),G53-H53,"")</f>
        <v/>
      </c>
      <c r="J53" s="153" t="n"/>
      <c r="K53" s="153" t="n"/>
      <c r="L53" s="153" t="n"/>
      <c r="M53" s="153" t="n"/>
    </row>
    <row r="54">
      <c r="A54" s="150">
        <f>IF(B54&lt;&gt;"",ROW()-3,"")</f>
        <v/>
      </c>
      <c r="B54" s="150" t="n"/>
      <c r="C54" s="151" t="n"/>
      <c r="D54" s="151" t="n"/>
      <c r="E54" s="150" t="n"/>
      <c r="F54" s="150" t="n"/>
      <c r="G54" s="152" t="n"/>
      <c r="H54" s="152" t="n"/>
      <c r="I54" s="152">
        <f>IF(AND(G54&lt;&gt;"",H54&lt;&gt;""),G54-H54,"")</f>
        <v/>
      </c>
      <c r="J54" s="150" t="n"/>
      <c r="K54" s="150" t="n"/>
      <c r="L54" s="150" t="n"/>
      <c r="M54" s="150" t="n"/>
    </row>
    <row r="55">
      <c r="A55" s="153">
        <f>IF(B55&lt;&gt;"",ROW()-3,"")</f>
        <v/>
      </c>
      <c r="B55" s="153" t="n"/>
      <c r="C55" s="154" t="n"/>
      <c r="D55" s="154" t="n"/>
      <c r="E55" s="153" t="n"/>
      <c r="F55" s="153" t="n"/>
      <c r="G55" s="155" t="n"/>
      <c r="H55" s="155" t="n"/>
      <c r="I55" s="155">
        <f>IF(AND(G55&lt;&gt;"",H55&lt;&gt;""),G55-H55,"")</f>
        <v/>
      </c>
      <c r="J55" s="153" t="n"/>
      <c r="K55" s="153" t="n"/>
      <c r="L55" s="153" t="n"/>
      <c r="M55" s="153" t="n"/>
    </row>
    <row r="56">
      <c r="A56" s="150">
        <f>IF(B56&lt;&gt;"",ROW()-3,"")</f>
        <v/>
      </c>
      <c r="B56" s="150" t="n"/>
      <c r="C56" s="151" t="n"/>
      <c r="D56" s="151" t="n"/>
      <c r="E56" s="150" t="n"/>
      <c r="F56" s="150" t="n"/>
      <c r="G56" s="152" t="n"/>
      <c r="H56" s="152" t="n"/>
      <c r="I56" s="152">
        <f>IF(AND(G56&lt;&gt;"",H56&lt;&gt;""),G56-H56,"")</f>
        <v/>
      </c>
      <c r="J56" s="150" t="n"/>
      <c r="K56" s="150" t="n"/>
      <c r="L56" s="150" t="n"/>
      <c r="M56" s="150" t="n"/>
    </row>
    <row r="57">
      <c r="A57" s="153">
        <f>IF(B57&lt;&gt;"",ROW()-3,"")</f>
        <v/>
      </c>
      <c r="B57" s="153" t="n"/>
      <c r="C57" s="154" t="n"/>
      <c r="D57" s="154" t="n"/>
      <c r="E57" s="153" t="n"/>
      <c r="F57" s="153" t="n"/>
      <c r="G57" s="155" t="n"/>
      <c r="H57" s="155" t="n"/>
      <c r="I57" s="155">
        <f>IF(AND(G57&lt;&gt;"",H57&lt;&gt;""),G57-H57,"")</f>
        <v/>
      </c>
      <c r="J57" s="153" t="n"/>
      <c r="K57" s="153" t="n"/>
      <c r="L57" s="153" t="n"/>
      <c r="M57" s="153" t="n"/>
    </row>
    <row r="58">
      <c r="A58" s="150">
        <f>IF(B58&lt;&gt;"",ROW()-3,"")</f>
        <v/>
      </c>
      <c r="B58" s="150" t="n"/>
      <c r="C58" s="151" t="n"/>
      <c r="D58" s="151" t="n"/>
      <c r="E58" s="150" t="n"/>
      <c r="F58" s="150" t="n"/>
      <c r="G58" s="152" t="n"/>
      <c r="H58" s="152" t="n"/>
      <c r="I58" s="152">
        <f>IF(AND(G58&lt;&gt;"",H58&lt;&gt;""),G58-H58,"")</f>
        <v/>
      </c>
      <c r="J58" s="150" t="n"/>
      <c r="K58" s="150" t="n"/>
      <c r="L58" s="150" t="n"/>
      <c r="M58" s="150" t="n"/>
    </row>
    <row r="59">
      <c r="A59" s="153">
        <f>IF(B59&lt;&gt;"",ROW()-3,"")</f>
        <v/>
      </c>
      <c r="B59" s="153" t="n"/>
      <c r="C59" s="154" t="n"/>
      <c r="D59" s="154" t="n"/>
      <c r="E59" s="153" t="n"/>
      <c r="F59" s="153" t="n"/>
      <c r="G59" s="155" t="n"/>
      <c r="H59" s="155" t="n"/>
      <c r="I59" s="155">
        <f>IF(AND(G59&lt;&gt;"",H59&lt;&gt;""),G59-H59,"")</f>
        <v/>
      </c>
      <c r="J59" s="153" t="n"/>
      <c r="K59" s="153" t="n"/>
      <c r="L59" s="153" t="n"/>
      <c r="M59" s="153" t="n"/>
    </row>
    <row r="60">
      <c r="A60" s="150">
        <f>IF(B60&lt;&gt;"",ROW()-3,"")</f>
        <v/>
      </c>
      <c r="B60" s="150" t="n"/>
      <c r="C60" s="151" t="n"/>
      <c r="D60" s="151" t="n"/>
      <c r="E60" s="150" t="n"/>
      <c r="F60" s="150" t="n"/>
      <c r="G60" s="152" t="n"/>
      <c r="H60" s="152" t="n"/>
      <c r="I60" s="152">
        <f>IF(AND(G60&lt;&gt;"",H60&lt;&gt;""),G60-H60,"")</f>
        <v/>
      </c>
      <c r="J60" s="150" t="n"/>
      <c r="K60" s="150" t="n"/>
      <c r="L60" s="150" t="n"/>
      <c r="M60" s="150" t="n"/>
    </row>
    <row r="61">
      <c r="A61" s="153">
        <f>IF(B61&lt;&gt;"",ROW()-3,"")</f>
        <v/>
      </c>
      <c r="B61" s="153" t="n"/>
      <c r="C61" s="154" t="n"/>
      <c r="D61" s="154" t="n"/>
      <c r="E61" s="153" t="n"/>
      <c r="F61" s="153" t="n"/>
      <c r="G61" s="155" t="n"/>
      <c r="H61" s="155" t="n"/>
      <c r="I61" s="155">
        <f>IF(AND(G61&lt;&gt;"",H61&lt;&gt;""),G61-H61,"")</f>
        <v/>
      </c>
      <c r="J61" s="153" t="n"/>
      <c r="K61" s="153" t="n"/>
      <c r="L61" s="153" t="n"/>
      <c r="M61" s="153" t="n"/>
    </row>
    <row r="62">
      <c r="A62" s="150">
        <f>IF(B62&lt;&gt;"",ROW()-3,"")</f>
        <v/>
      </c>
      <c r="B62" s="150" t="n"/>
      <c r="C62" s="151" t="n"/>
      <c r="D62" s="151" t="n"/>
      <c r="E62" s="150" t="n"/>
      <c r="F62" s="150" t="n"/>
      <c r="G62" s="152" t="n"/>
      <c r="H62" s="152" t="n"/>
      <c r="I62" s="152">
        <f>IF(AND(G62&lt;&gt;"",H62&lt;&gt;""),G62-H62,"")</f>
        <v/>
      </c>
      <c r="J62" s="150" t="n"/>
      <c r="K62" s="150" t="n"/>
      <c r="L62" s="150" t="n"/>
      <c r="M62" s="150" t="n"/>
    </row>
    <row r="63">
      <c r="A63" s="153">
        <f>IF(B63&lt;&gt;"",ROW()-3,"")</f>
        <v/>
      </c>
      <c r="B63" s="153" t="n"/>
      <c r="C63" s="154" t="n"/>
      <c r="D63" s="154" t="n"/>
      <c r="E63" s="153" t="n"/>
      <c r="F63" s="153" t="n"/>
      <c r="G63" s="155" t="n"/>
      <c r="H63" s="155" t="n"/>
      <c r="I63" s="155">
        <f>IF(AND(G63&lt;&gt;"",H63&lt;&gt;""),G63-H63,"")</f>
        <v/>
      </c>
      <c r="J63" s="153" t="n"/>
      <c r="K63" s="153" t="n"/>
      <c r="L63" s="153" t="n"/>
      <c r="M63" s="153" t="n"/>
    </row>
    <row r="64">
      <c r="A64" s="150">
        <f>IF(B64&lt;&gt;"",ROW()-3,"")</f>
        <v/>
      </c>
      <c r="B64" s="150" t="n"/>
      <c r="C64" s="151" t="n"/>
      <c r="D64" s="151" t="n"/>
      <c r="E64" s="150" t="n"/>
      <c r="F64" s="150" t="n"/>
      <c r="G64" s="152" t="n"/>
      <c r="H64" s="152" t="n"/>
      <c r="I64" s="152">
        <f>IF(AND(G64&lt;&gt;"",H64&lt;&gt;""),G64-H64,"")</f>
        <v/>
      </c>
      <c r="J64" s="150" t="n"/>
      <c r="K64" s="150" t="n"/>
      <c r="L64" s="150" t="n"/>
      <c r="M64" s="150" t="n"/>
    </row>
    <row r="65">
      <c r="A65" s="153">
        <f>IF(B65&lt;&gt;"",ROW()-3,"")</f>
        <v/>
      </c>
      <c r="B65" s="153" t="n"/>
      <c r="C65" s="154" t="n"/>
      <c r="D65" s="154" t="n"/>
      <c r="E65" s="153" t="n"/>
      <c r="F65" s="153" t="n"/>
      <c r="G65" s="155" t="n"/>
      <c r="H65" s="155" t="n"/>
      <c r="I65" s="155">
        <f>IF(AND(G65&lt;&gt;"",H65&lt;&gt;""),G65-H65,"")</f>
        <v/>
      </c>
      <c r="J65" s="153" t="n"/>
      <c r="K65" s="153" t="n"/>
      <c r="L65" s="153" t="n"/>
      <c r="M65" s="153" t="n"/>
    </row>
    <row r="66">
      <c r="A66" s="150">
        <f>IF(B66&lt;&gt;"",ROW()-3,"")</f>
        <v/>
      </c>
      <c r="B66" s="150" t="n"/>
      <c r="C66" s="151" t="n"/>
      <c r="D66" s="151" t="n"/>
      <c r="E66" s="150" t="n"/>
      <c r="F66" s="150" t="n"/>
      <c r="G66" s="152" t="n"/>
      <c r="H66" s="152" t="n"/>
      <c r="I66" s="152">
        <f>IF(AND(G66&lt;&gt;"",H66&lt;&gt;""),G66-H66,"")</f>
        <v/>
      </c>
      <c r="J66" s="150" t="n"/>
      <c r="K66" s="150" t="n"/>
      <c r="L66" s="150" t="n"/>
      <c r="M66" s="150" t="n"/>
    </row>
    <row r="67">
      <c r="A67" s="153">
        <f>IF(B67&lt;&gt;"",ROW()-3,"")</f>
        <v/>
      </c>
      <c r="B67" s="153" t="n"/>
      <c r="C67" s="154" t="n"/>
      <c r="D67" s="154" t="n"/>
      <c r="E67" s="153" t="n"/>
      <c r="F67" s="153" t="n"/>
      <c r="G67" s="155" t="n"/>
      <c r="H67" s="155" t="n"/>
      <c r="I67" s="155">
        <f>IF(AND(G67&lt;&gt;"",H67&lt;&gt;""),G67-H67,"")</f>
        <v/>
      </c>
      <c r="J67" s="153" t="n"/>
      <c r="K67" s="153" t="n"/>
      <c r="L67" s="153" t="n"/>
      <c r="M67" s="153" t="n"/>
    </row>
    <row r="68">
      <c r="A68" s="150">
        <f>IF(B68&lt;&gt;"",ROW()-3,"")</f>
        <v/>
      </c>
      <c r="B68" s="150" t="n"/>
      <c r="C68" s="151" t="n"/>
      <c r="D68" s="151" t="n"/>
      <c r="E68" s="150" t="n"/>
      <c r="F68" s="150" t="n"/>
      <c r="G68" s="152" t="n"/>
      <c r="H68" s="152" t="n"/>
      <c r="I68" s="152">
        <f>IF(AND(G68&lt;&gt;"",H68&lt;&gt;""),G68-H68,"")</f>
        <v/>
      </c>
      <c r="J68" s="150" t="n"/>
      <c r="K68" s="150" t="n"/>
      <c r="L68" s="150" t="n"/>
      <c r="M68" s="150" t="n"/>
    </row>
    <row r="69">
      <c r="A69" s="153">
        <f>IF(B69&lt;&gt;"",ROW()-3,"")</f>
        <v/>
      </c>
      <c r="B69" s="153" t="n"/>
      <c r="C69" s="154" t="n"/>
      <c r="D69" s="154" t="n"/>
      <c r="E69" s="153" t="n"/>
      <c r="F69" s="153" t="n"/>
      <c r="G69" s="155" t="n"/>
      <c r="H69" s="155" t="n"/>
      <c r="I69" s="155">
        <f>IF(AND(G69&lt;&gt;"",H69&lt;&gt;""),G69-H69,"")</f>
        <v/>
      </c>
      <c r="J69" s="153" t="n"/>
      <c r="K69" s="153" t="n"/>
      <c r="L69" s="153" t="n"/>
      <c r="M69" s="153" t="n"/>
    </row>
    <row r="70">
      <c r="A70" s="150">
        <f>IF(B70&lt;&gt;"",ROW()-3,"")</f>
        <v/>
      </c>
      <c r="B70" s="150" t="n"/>
      <c r="C70" s="151" t="n"/>
      <c r="D70" s="151" t="n"/>
      <c r="E70" s="150" t="n"/>
      <c r="F70" s="150" t="n"/>
      <c r="G70" s="152" t="n"/>
      <c r="H70" s="152" t="n"/>
      <c r="I70" s="152">
        <f>IF(AND(G70&lt;&gt;"",H70&lt;&gt;""),G70-H70,"")</f>
        <v/>
      </c>
      <c r="J70" s="150" t="n"/>
      <c r="K70" s="150" t="n"/>
      <c r="L70" s="150" t="n"/>
      <c r="M70" s="150" t="n"/>
    </row>
    <row r="71">
      <c r="A71" s="153">
        <f>IF(B71&lt;&gt;"",ROW()-3,"")</f>
        <v/>
      </c>
      <c r="B71" s="153" t="n"/>
      <c r="C71" s="154" t="n"/>
      <c r="D71" s="154" t="n"/>
      <c r="E71" s="153" t="n"/>
      <c r="F71" s="153" t="n"/>
      <c r="G71" s="155" t="n"/>
      <c r="H71" s="155" t="n"/>
      <c r="I71" s="155">
        <f>IF(AND(G71&lt;&gt;"",H71&lt;&gt;""),G71-H71,"")</f>
        <v/>
      </c>
      <c r="J71" s="153" t="n"/>
      <c r="K71" s="153" t="n"/>
      <c r="L71" s="153" t="n"/>
      <c r="M71" s="153" t="n"/>
    </row>
    <row r="72">
      <c r="A72" s="150">
        <f>IF(B72&lt;&gt;"",ROW()-3,"")</f>
        <v/>
      </c>
      <c r="B72" s="150" t="n"/>
      <c r="C72" s="151" t="n"/>
      <c r="D72" s="151" t="n"/>
      <c r="E72" s="150" t="n"/>
      <c r="F72" s="150" t="n"/>
      <c r="G72" s="152" t="n"/>
      <c r="H72" s="152" t="n"/>
      <c r="I72" s="152">
        <f>IF(AND(G72&lt;&gt;"",H72&lt;&gt;""),G72-H72,"")</f>
        <v/>
      </c>
      <c r="J72" s="150" t="n"/>
      <c r="K72" s="150" t="n"/>
      <c r="L72" s="150" t="n"/>
      <c r="M72" s="150" t="n"/>
    </row>
    <row r="73">
      <c r="A73" s="153">
        <f>IF(B73&lt;&gt;"",ROW()-3,"")</f>
        <v/>
      </c>
      <c r="B73" s="153" t="n"/>
      <c r="C73" s="154" t="n"/>
      <c r="D73" s="154" t="n"/>
      <c r="E73" s="153" t="n"/>
      <c r="F73" s="153" t="n"/>
      <c r="G73" s="155" t="n"/>
      <c r="H73" s="155" t="n"/>
      <c r="I73" s="155">
        <f>IF(AND(G73&lt;&gt;"",H73&lt;&gt;""),G73-H73,"")</f>
        <v/>
      </c>
      <c r="J73" s="153" t="n"/>
      <c r="K73" s="153" t="n"/>
      <c r="L73" s="153" t="n"/>
      <c r="M73" s="153" t="n"/>
    </row>
    <row r="74">
      <c r="A74" s="150">
        <f>IF(B74&lt;&gt;"",ROW()-3,"")</f>
        <v/>
      </c>
      <c r="B74" s="150" t="n"/>
      <c r="C74" s="151" t="n"/>
      <c r="D74" s="151" t="n"/>
      <c r="E74" s="150" t="n"/>
      <c r="F74" s="150" t="n"/>
      <c r="G74" s="152" t="n"/>
      <c r="H74" s="152" t="n"/>
      <c r="I74" s="152">
        <f>IF(AND(G74&lt;&gt;"",H74&lt;&gt;""),G74-H74,"")</f>
        <v/>
      </c>
      <c r="J74" s="150" t="n"/>
      <c r="K74" s="150" t="n"/>
      <c r="L74" s="150" t="n"/>
      <c r="M74" s="150" t="n"/>
    </row>
    <row r="75">
      <c r="A75" s="153">
        <f>IF(B75&lt;&gt;"",ROW()-3,"")</f>
        <v/>
      </c>
      <c r="B75" s="153" t="n"/>
      <c r="C75" s="154" t="n"/>
      <c r="D75" s="154" t="n"/>
      <c r="E75" s="153" t="n"/>
      <c r="F75" s="153" t="n"/>
      <c r="G75" s="155" t="n"/>
      <c r="H75" s="155" t="n"/>
      <c r="I75" s="155">
        <f>IF(AND(G75&lt;&gt;"",H75&lt;&gt;""),G75-H75,"")</f>
        <v/>
      </c>
      <c r="J75" s="153" t="n"/>
      <c r="K75" s="153" t="n"/>
      <c r="L75" s="153" t="n"/>
      <c r="M75" s="153" t="n"/>
    </row>
    <row r="76">
      <c r="A76" s="150">
        <f>IF(B76&lt;&gt;"",ROW()-3,"")</f>
        <v/>
      </c>
      <c r="B76" s="150" t="n"/>
      <c r="C76" s="151" t="n"/>
      <c r="D76" s="151" t="n"/>
      <c r="E76" s="150" t="n"/>
      <c r="F76" s="150" t="n"/>
      <c r="G76" s="152" t="n"/>
      <c r="H76" s="152" t="n"/>
      <c r="I76" s="152">
        <f>IF(AND(G76&lt;&gt;"",H76&lt;&gt;""),G76-H76,"")</f>
        <v/>
      </c>
      <c r="J76" s="150" t="n"/>
      <c r="K76" s="150" t="n"/>
      <c r="L76" s="150" t="n"/>
      <c r="M76" s="150" t="n"/>
    </row>
    <row r="77">
      <c r="A77" s="153">
        <f>IF(B77&lt;&gt;"",ROW()-3,"")</f>
        <v/>
      </c>
      <c r="B77" s="153" t="n"/>
      <c r="C77" s="154" t="n"/>
      <c r="D77" s="154" t="n"/>
      <c r="E77" s="153" t="n"/>
      <c r="F77" s="153" t="n"/>
      <c r="G77" s="155" t="n"/>
      <c r="H77" s="155" t="n"/>
      <c r="I77" s="155">
        <f>IF(AND(G77&lt;&gt;"",H77&lt;&gt;""),G77-H77,"")</f>
        <v/>
      </c>
      <c r="J77" s="153" t="n"/>
      <c r="K77" s="153" t="n"/>
      <c r="L77" s="153" t="n"/>
      <c r="M77" s="153" t="n"/>
    </row>
    <row r="78">
      <c r="A78" s="150">
        <f>IF(B78&lt;&gt;"",ROW()-3,"")</f>
        <v/>
      </c>
      <c r="B78" s="150" t="n"/>
      <c r="C78" s="151" t="n"/>
      <c r="D78" s="151" t="n"/>
      <c r="E78" s="150" t="n"/>
      <c r="F78" s="150" t="n"/>
      <c r="G78" s="152" t="n"/>
      <c r="H78" s="152" t="n"/>
      <c r="I78" s="152">
        <f>IF(AND(G78&lt;&gt;"",H78&lt;&gt;""),G78-H78,"")</f>
        <v/>
      </c>
      <c r="J78" s="150" t="n"/>
      <c r="K78" s="150" t="n"/>
      <c r="L78" s="150" t="n"/>
      <c r="M78" s="150" t="n"/>
    </row>
    <row r="79">
      <c r="A79" s="153">
        <f>IF(B79&lt;&gt;"",ROW()-3,"")</f>
        <v/>
      </c>
      <c r="B79" s="153" t="n"/>
      <c r="C79" s="154" t="n"/>
      <c r="D79" s="154" t="n"/>
      <c r="E79" s="153" t="n"/>
      <c r="F79" s="153" t="n"/>
      <c r="G79" s="155" t="n"/>
      <c r="H79" s="155" t="n"/>
      <c r="I79" s="155">
        <f>IF(AND(G79&lt;&gt;"",H79&lt;&gt;""),G79-H79,"")</f>
        <v/>
      </c>
      <c r="J79" s="153" t="n"/>
      <c r="K79" s="153" t="n"/>
      <c r="L79" s="153" t="n"/>
      <c r="M79" s="153" t="n"/>
    </row>
    <row r="80">
      <c r="A80" s="150">
        <f>IF(B80&lt;&gt;"",ROW()-3,"")</f>
        <v/>
      </c>
      <c r="B80" s="150" t="n"/>
      <c r="C80" s="151" t="n"/>
      <c r="D80" s="151" t="n"/>
      <c r="E80" s="150" t="n"/>
      <c r="F80" s="150" t="n"/>
      <c r="G80" s="152" t="n"/>
      <c r="H80" s="152" t="n"/>
      <c r="I80" s="152">
        <f>IF(AND(G80&lt;&gt;"",H80&lt;&gt;""),G80-H80,"")</f>
        <v/>
      </c>
      <c r="J80" s="150" t="n"/>
      <c r="K80" s="150" t="n"/>
      <c r="L80" s="150" t="n"/>
      <c r="M80" s="150" t="n"/>
    </row>
    <row r="81">
      <c r="A81" s="153">
        <f>IF(B81&lt;&gt;"",ROW()-3,"")</f>
        <v/>
      </c>
      <c r="B81" s="153" t="n"/>
      <c r="C81" s="154" t="n"/>
      <c r="D81" s="154" t="n"/>
      <c r="E81" s="153" t="n"/>
      <c r="F81" s="153" t="n"/>
      <c r="G81" s="155" t="n"/>
      <c r="H81" s="155" t="n"/>
      <c r="I81" s="155">
        <f>IF(AND(G81&lt;&gt;"",H81&lt;&gt;""),G81-H81,"")</f>
        <v/>
      </c>
      <c r="J81" s="153" t="n"/>
      <c r="K81" s="153" t="n"/>
      <c r="L81" s="153" t="n"/>
      <c r="M81" s="153" t="n"/>
    </row>
    <row r="82">
      <c r="A82" s="150">
        <f>IF(B82&lt;&gt;"",ROW()-3,"")</f>
        <v/>
      </c>
      <c r="B82" s="150" t="n"/>
      <c r="C82" s="151" t="n"/>
      <c r="D82" s="151" t="n"/>
      <c r="E82" s="150" t="n"/>
      <c r="F82" s="150" t="n"/>
      <c r="G82" s="152" t="n"/>
      <c r="H82" s="152" t="n"/>
      <c r="I82" s="152">
        <f>IF(AND(G82&lt;&gt;"",H82&lt;&gt;""),G82-H82,"")</f>
        <v/>
      </c>
      <c r="J82" s="150" t="n"/>
      <c r="K82" s="150" t="n"/>
      <c r="L82" s="150" t="n"/>
      <c r="M82" s="150" t="n"/>
    </row>
    <row r="83">
      <c r="A83" s="153">
        <f>IF(B83&lt;&gt;"",ROW()-3,"")</f>
        <v/>
      </c>
      <c r="B83" s="153" t="n"/>
      <c r="C83" s="154" t="n"/>
      <c r="D83" s="154" t="n"/>
      <c r="E83" s="153" t="n"/>
      <c r="F83" s="153" t="n"/>
      <c r="G83" s="155" t="n"/>
      <c r="H83" s="155" t="n"/>
      <c r="I83" s="155">
        <f>IF(AND(G83&lt;&gt;"",H83&lt;&gt;""),G83-H83,"")</f>
        <v/>
      </c>
      <c r="J83" s="153" t="n"/>
      <c r="K83" s="153" t="n"/>
      <c r="L83" s="153" t="n"/>
      <c r="M83" s="153" t="n"/>
    </row>
    <row r="84">
      <c r="A84" s="150">
        <f>IF(B84&lt;&gt;"",ROW()-3,"")</f>
        <v/>
      </c>
      <c r="B84" s="150" t="n"/>
      <c r="C84" s="151" t="n"/>
      <c r="D84" s="151" t="n"/>
      <c r="E84" s="150" t="n"/>
      <c r="F84" s="150" t="n"/>
      <c r="G84" s="152" t="n"/>
      <c r="H84" s="152" t="n"/>
      <c r="I84" s="152">
        <f>IF(AND(G84&lt;&gt;"",H84&lt;&gt;""),G84-H84,"")</f>
        <v/>
      </c>
      <c r="J84" s="150" t="n"/>
      <c r="K84" s="150" t="n"/>
      <c r="L84" s="150" t="n"/>
      <c r="M84" s="150" t="n"/>
    </row>
    <row r="85">
      <c r="A85" s="153">
        <f>IF(B85&lt;&gt;"",ROW()-3,"")</f>
        <v/>
      </c>
      <c r="B85" s="153" t="n"/>
      <c r="C85" s="154" t="n"/>
      <c r="D85" s="154" t="n"/>
      <c r="E85" s="153" t="n"/>
      <c r="F85" s="153" t="n"/>
      <c r="G85" s="155" t="n"/>
      <c r="H85" s="155" t="n"/>
      <c r="I85" s="155">
        <f>IF(AND(G85&lt;&gt;"",H85&lt;&gt;""),G85-H85,"")</f>
        <v/>
      </c>
      <c r="J85" s="153" t="n"/>
      <c r="K85" s="153" t="n"/>
      <c r="L85" s="153" t="n"/>
      <c r="M85" s="153" t="n"/>
    </row>
    <row r="86">
      <c r="A86" s="150">
        <f>IF(B86&lt;&gt;"",ROW()-3,"")</f>
        <v/>
      </c>
      <c r="B86" s="150" t="n"/>
      <c r="C86" s="151" t="n"/>
      <c r="D86" s="151" t="n"/>
      <c r="E86" s="150" t="n"/>
      <c r="F86" s="150" t="n"/>
      <c r="G86" s="152" t="n"/>
      <c r="H86" s="152" t="n"/>
      <c r="I86" s="152">
        <f>IF(AND(G86&lt;&gt;"",H86&lt;&gt;""),G86-H86,"")</f>
        <v/>
      </c>
      <c r="J86" s="150" t="n"/>
      <c r="K86" s="150" t="n"/>
      <c r="L86" s="150" t="n"/>
      <c r="M86" s="150" t="n"/>
    </row>
    <row r="87">
      <c r="A87" s="153">
        <f>IF(B87&lt;&gt;"",ROW()-3,"")</f>
        <v/>
      </c>
      <c r="B87" s="153" t="n"/>
      <c r="C87" s="154" t="n"/>
      <c r="D87" s="154" t="n"/>
      <c r="E87" s="153" t="n"/>
      <c r="F87" s="153" t="n"/>
      <c r="G87" s="155" t="n"/>
      <c r="H87" s="155" t="n"/>
      <c r="I87" s="155">
        <f>IF(AND(G87&lt;&gt;"",H87&lt;&gt;""),G87-H87,"")</f>
        <v/>
      </c>
      <c r="J87" s="153" t="n"/>
      <c r="K87" s="153" t="n"/>
      <c r="L87" s="153" t="n"/>
      <c r="M87" s="153" t="n"/>
    </row>
    <row r="88">
      <c r="A88" s="150">
        <f>IF(B88&lt;&gt;"",ROW()-3,"")</f>
        <v/>
      </c>
      <c r="B88" s="150" t="n"/>
      <c r="C88" s="151" t="n"/>
      <c r="D88" s="151" t="n"/>
      <c r="E88" s="150" t="n"/>
      <c r="F88" s="150" t="n"/>
      <c r="G88" s="152" t="n"/>
      <c r="H88" s="152" t="n"/>
      <c r="I88" s="152">
        <f>IF(AND(G88&lt;&gt;"",H88&lt;&gt;""),G88-H88,"")</f>
        <v/>
      </c>
      <c r="J88" s="150" t="n"/>
      <c r="K88" s="150" t="n"/>
      <c r="L88" s="150" t="n"/>
      <c r="M88" s="150" t="n"/>
    </row>
    <row r="89">
      <c r="A89" s="153">
        <f>IF(B89&lt;&gt;"",ROW()-3,"")</f>
        <v/>
      </c>
      <c r="B89" s="153" t="n"/>
      <c r="C89" s="154" t="n"/>
      <c r="D89" s="154" t="n"/>
      <c r="E89" s="153" t="n"/>
      <c r="F89" s="153" t="n"/>
      <c r="G89" s="155" t="n"/>
      <c r="H89" s="155" t="n"/>
      <c r="I89" s="155">
        <f>IF(AND(G89&lt;&gt;"",H89&lt;&gt;""),G89-H89,"")</f>
        <v/>
      </c>
      <c r="J89" s="153" t="n"/>
      <c r="K89" s="153" t="n"/>
      <c r="L89" s="153" t="n"/>
      <c r="M89" s="153" t="n"/>
    </row>
    <row r="90">
      <c r="A90" s="150">
        <f>IF(B90&lt;&gt;"",ROW()-3,"")</f>
        <v/>
      </c>
      <c r="B90" s="150" t="n"/>
      <c r="C90" s="151" t="n"/>
      <c r="D90" s="151" t="n"/>
      <c r="E90" s="150" t="n"/>
      <c r="F90" s="150" t="n"/>
      <c r="G90" s="152" t="n"/>
      <c r="H90" s="152" t="n"/>
      <c r="I90" s="152">
        <f>IF(AND(G90&lt;&gt;"",H90&lt;&gt;""),G90-H90,"")</f>
        <v/>
      </c>
      <c r="J90" s="150" t="n"/>
      <c r="K90" s="150" t="n"/>
      <c r="L90" s="150" t="n"/>
      <c r="M90" s="150" t="n"/>
    </row>
    <row r="91">
      <c r="A91" s="153">
        <f>IF(B91&lt;&gt;"",ROW()-3,"")</f>
        <v/>
      </c>
      <c r="B91" s="153" t="n"/>
      <c r="C91" s="154" t="n"/>
      <c r="D91" s="154" t="n"/>
      <c r="E91" s="153" t="n"/>
      <c r="F91" s="153" t="n"/>
      <c r="G91" s="155" t="n"/>
      <c r="H91" s="155" t="n"/>
      <c r="I91" s="155">
        <f>IF(AND(G91&lt;&gt;"",H91&lt;&gt;""),G91-H91,"")</f>
        <v/>
      </c>
      <c r="J91" s="153" t="n"/>
      <c r="K91" s="153" t="n"/>
      <c r="L91" s="153" t="n"/>
      <c r="M91" s="153" t="n"/>
    </row>
    <row r="92">
      <c r="A92" s="150">
        <f>IF(B92&lt;&gt;"",ROW()-3,"")</f>
        <v/>
      </c>
      <c r="B92" s="150" t="n"/>
      <c r="C92" s="151" t="n"/>
      <c r="D92" s="151" t="n"/>
      <c r="E92" s="150" t="n"/>
      <c r="F92" s="150" t="n"/>
      <c r="G92" s="152" t="n"/>
      <c r="H92" s="152" t="n"/>
      <c r="I92" s="152">
        <f>IF(AND(G92&lt;&gt;"",H92&lt;&gt;""),G92-H92,"")</f>
        <v/>
      </c>
      <c r="J92" s="150" t="n"/>
      <c r="K92" s="150" t="n"/>
      <c r="L92" s="150" t="n"/>
      <c r="M92" s="150" t="n"/>
    </row>
    <row r="93">
      <c r="A93" s="153">
        <f>IF(B93&lt;&gt;"",ROW()-3,"")</f>
        <v/>
      </c>
      <c r="B93" s="153" t="n"/>
      <c r="C93" s="154" t="n"/>
      <c r="D93" s="154" t="n"/>
      <c r="E93" s="153" t="n"/>
      <c r="F93" s="153" t="n"/>
      <c r="G93" s="155" t="n"/>
      <c r="H93" s="155" t="n"/>
      <c r="I93" s="155">
        <f>IF(AND(G93&lt;&gt;"",H93&lt;&gt;""),G93-H93,"")</f>
        <v/>
      </c>
      <c r="J93" s="153" t="n"/>
      <c r="K93" s="153" t="n"/>
      <c r="L93" s="153" t="n"/>
      <c r="M93" s="153" t="n"/>
    </row>
    <row r="94">
      <c r="A94" s="150">
        <f>IF(B94&lt;&gt;"",ROW()-3,"")</f>
        <v/>
      </c>
      <c r="B94" s="150" t="n"/>
      <c r="C94" s="151" t="n"/>
      <c r="D94" s="151" t="n"/>
      <c r="E94" s="150" t="n"/>
      <c r="F94" s="150" t="n"/>
      <c r="G94" s="152" t="n"/>
      <c r="H94" s="152" t="n"/>
      <c r="I94" s="152">
        <f>IF(AND(G94&lt;&gt;"",H94&lt;&gt;""),G94-H94,"")</f>
        <v/>
      </c>
      <c r="J94" s="150" t="n"/>
      <c r="K94" s="150" t="n"/>
      <c r="L94" s="150" t="n"/>
      <c r="M94" s="150" t="n"/>
    </row>
    <row r="95">
      <c r="A95" s="153">
        <f>IF(B95&lt;&gt;"",ROW()-3,"")</f>
        <v/>
      </c>
      <c r="B95" s="153" t="n"/>
      <c r="C95" s="154" t="n"/>
      <c r="D95" s="154" t="n"/>
      <c r="E95" s="153" t="n"/>
      <c r="F95" s="153" t="n"/>
      <c r="G95" s="155" t="n"/>
      <c r="H95" s="155" t="n"/>
      <c r="I95" s="155">
        <f>IF(AND(G95&lt;&gt;"",H95&lt;&gt;""),G95-H95,"")</f>
        <v/>
      </c>
      <c r="J95" s="153" t="n"/>
      <c r="K95" s="153" t="n"/>
      <c r="L95" s="153" t="n"/>
      <c r="M95" s="153" t="n"/>
    </row>
    <row r="96">
      <c r="A96" s="150">
        <f>IF(B96&lt;&gt;"",ROW()-3,"")</f>
        <v/>
      </c>
      <c r="B96" s="150" t="n"/>
      <c r="C96" s="151" t="n"/>
      <c r="D96" s="151" t="n"/>
      <c r="E96" s="150" t="n"/>
      <c r="F96" s="150" t="n"/>
      <c r="G96" s="152" t="n"/>
      <c r="H96" s="152" t="n"/>
      <c r="I96" s="152">
        <f>IF(AND(G96&lt;&gt;"",H96&lt;&gt;""),G96-H96,"")</f>
        <v/>
      </c>
      <c r="J96" s="150" t="n"/>
      <c r="K96" s="150" t="n"/>
      <c r="L96" s="150" t="n"/>
      <c r="M96" s="150" t="n"/>
    </row>
    <row r="97">
      <c r="A97" s="153">
        <f>IF(B97&lt;&gt;"",ROW()-3,"")</f>
        <v/>
      </c>
      <c r="B97" s="153" t="n"/>
      <c r="C97" s="154" t="n"/>
      <c r="D97" s="154" t="n"/>
      <c r="E97" s="153" t="n"/>
      <c r="F97" s="153" t="n"/>
      <c r="G97" s="155" t="n"/>
      <c r="H97" s="155" t="n"/>
      <c r="I97" s="155">
        <f>IF(AND(G97&lt;&gt;"",H97&lt;&gt;""),G97-H97,"")</f>
        <v/>
      </c>
      <c r="J97" s="153" t="n"/>
      <c r="K97" s="153" t="n"/>
      <c r="L97" s="153" t="n"/>
      <c r="M97" s="153" t="n"/>
    </row>
    <row r="98">
      <c r="A98" s="150">
        <f>IF(B98&lt;&gt;"",ROW()-3,"")</f>
        <v/>
      </c>
      <c r="B98" s="150" t="n"/>
      <c r="C98" s="151" t="n"/>
      <c r="D98" s="151" t="n"/>
      <c r="E98" s="150" t="n"/>
      <c r="F98" s="150" t="n"/>
      <c r="G98" s="152" t="n"/>
      <c r="H98" s="152" t="n"/>
      <c r="I98" s="152">
        <f>IF(AND(G98&lt;&gt;"",H98&lt;&gt;""),G98-H98,"")</f>
        <v/>
      </c>
      <c r="J98" s="150" t="n"/>
      <c r="K98" s="150" t="n"/>
      <c r="L98" s="150" t="n"/>
      <c r="M98" s="150" t="n"/>
    </row>
    <row r="99">
      <c r="A99" s="153">
        <f>IF(B99&lt;&gt;"",ROW()-3,"")</f>
        <v/>
      </c>
      <c r="B99" s="153" t="n"/>
      <c r="C99" s="154" t="n"/>
      <c r="D99" s="154" t="n"/>
      <c r="E99" s="153" t="n"/>
      <c r="F99" s="153" t="n"/>
      <c r="G99" s="155" t="n"/>
      <c r="H99" s="155" t="n"/>
      <c r="I99" s="155">
        <f>IF(AND(G99&lt;&gt;"",H99&lt;&gt;""),G99-H99,"")</f>
        <v/>
      </c>
      <c r="J99" s="153" t="n"/>
      <c r="K99" s="153" t="n"/>
      <c r="L99" s="153" t="n"/>
      <c r="M99" s="153" t="n"/>
    </row>
    <row r="100">
      <c r="A100" s="150">
        <f>IF(B100&lt;&gt;"",ROW()-3,"")</f>
        <v/>
      </c>
      <c r="B100" s="150" t="n"/>
      <c r="C100" s="151" t="n"/>
      <c r="D100" s="151" t="n"/>
      <c r="E100" s="150" t="n"/>
      <c r="F100" s="150" t="n"/>
      <c r="G100" s="152" t="n"/>
      <c r="H100" s="152" t="n"/>
      <c r="I100" s="152">
        <f>IF(AND(G100&lt;&gt;"",H100&lt;&gt;""),G100-H100,"")</f>
        <v/>
      </c>
      <c r="J100" s="150" t="n"/>
      <c r="K100" s="150" t="n"/>
      <c r="L100" s="150" t="n"/>
      <c r="M100" s="150" t="n"/>
    </row>
    <row r="101">
      <c r="A101" s="153">
        <f>IF(B101&lt;&gt;"",ROW()-3,"")</f>
        <v/>
      </c>
      <c r="B101" s="153" t="n"/>
      <c r="C101" s="154" t="n"/>
      <c r="D101" s="154" t="n"/>
      <c r="E101" s="153" t="n"/>
      <c r="F101" s="153" t="n"/>
      <c r="G101" s="155" t="n"/>
      <c r="H101" s="155" t="n"/>
      <c r="I101" s="155">
        <f>IF(AND(G101&lt;&gt;"",H101&lt;&gt;""),G101-H101,"")</f>
        <v/>
      </c>
      <c r="J101" s="153" t="n"/>
      <c r="K101" s="153" t="n"/>
      <c r="L101" s="153" t="n"/>
      <c r="M101" s="153" t="n"/>
    </row>
    <row r="102">
      <c r="A102" s="150">
        <f>IF(B102&lt;&gt;"",ROW()-3,"")</f>
        <v/>
      </c>
      <c r="B102" s="150" t="n"/>
      <c r="C102" s="151" t="n"/>
      <c r="D102" s="151" t="n"/>
      <c r="E102" s="150" t="n"/>
      <c r="F102" s="150" t="n"/>
      <c r="G102" s="152" t="n"/>
      <c r="H102" s="152" t="n"/>
      <c r="I102" s="152">
        <f>IF(AND(G102&lt;&gt;"",H102&lt;&gt;""),G102-H102,"")</f>
        <v/>
      </c>
      <c r="J102" s="150" t="n"/>
      <c r="K102" s="150" t="n"/>
      <c r="L102" s="150" t="n"/>
      <c r="M102" s="150" t="n"/>
    </row>
    <row r="103">
      <c r="A103" s="153">
        <f>IF(B103&lt;&gt;"",ROW()-3,"")</f>
        <v/>
      </c>
      <c r="B103" s="153" t="n"/>
      <c r="C103" s="154" t="n"/>
      <c r="D103" s="154" t="n"/>
      <c r="E103" s="153" t="n"/>
      <c r="F103" s="153" t="n"/>
      <c r="G103" s="155" t="n"/>
      <c r="H103" s="155" t="n"/>
      <c r="I103" s="155">
        <f>IF(AND(G103&lt;&gt;"",H103&lt;&gt;""),G103-H103,"")</f>
        <v/>
      </c>
      <c r="J103" s="153" t="n"/>
      <c r="K103" s="153" t="n"/>
      <c r="L103" s="153" t="n"/>
      <c r="M103" s="153" t="n"/>
    </row>
    <row r="104">
      <c r="A104" s="150">
        <f>IF(B104&lt;&gt;"",ROW()-3,"")</f>
        <v/>
      </c>
      <c r="B104" s="150" t="n"/>
      <c r="C104" s="151" t="n"/>
      <c r="D104" s="151" t="n"/>
      <c r="E104" s="150" t="n"/>
      <c r="F104" s="150" t="n"/>
      <c r="G104" s="152" t="n"/>
      <c r="H104" s="152" t="n"/>
      <c r="I104" s="152">
        <f>IF(AND(G104&lt;&gt;"",H104&lt;&gt;""),G104-H104,"")</f>
        <v/>
      </c>
      <c r="J104" s="150" t="n"/>
      <c r="K104" s="150" t="n"/>
      <c r="L104" s="150" t="n"/>
      <c r="M104" s="150" t="n"/>
    </row>
    <row r="105">
      <c r="A105" s="153">
        <f>IF(B105&lt;&gt;"",ROW()-3,"")</f>
        <v/>
      </c>
      <c r="B105" s="153" t="n"/>
      <c r="C105" s="154" t="n"/>
      <c r="D105" s="154" t="n"/>
      <c r="E105" s="153" t="n"/>
      <c r="F105" s="153" t="n"/>
      <c r="G105" s="155" t="n"/>
      <c r="H105" s="155" t="n"/>
      <c r="I105" s="155">
        <f>IF(AND(G105&lt;&gt;"",H105&lt;&gt;""),G105-H105,"")</f>
        <v/>
      </c>
      <c r="J105" s="153" t="n"/>
      <c r="K105" s="153" t="n"/>
      <c r="L105" s="153" t="n"/>
      <c r="M105" s="153" t="n"/>
    </row>
    <row r="106">
      <c r="A106" s="150">
        <f>IF(B106&lt;&gt;"",ROW()-3,"")</f>
        <v/>
      </c>
      <c r="B106" s="150" t="n"/>
      <c r="C106" s="151" t="n"/>
      <c r="D106" s="151" t="n"/>
      <c r="E106" s="150" t="n"/>
      <c r="F106" s="150" t="n"/>
      <c r="G106" s="152" t="n"/>
      <c r="H106" s="152" t="n"/>
      <c r="I106" s="152">
        <f>IF(AND(G106&lt;&gt;"",H106&lt;&gt;""),G106-H106,"")</f>
        <v/>
      </c>
      <c r="J106" s="150" t="n"/>
      <c r="K106" s="150" t="n"/>
      <c r="L106" s="150" t="n"/>
      <c r="M106" s="150" t="n"/>
    </row>
    <row r="107">
      <c r="A107" s="153">
        <f>IF(B107&lt;&gt;"",ROW()-3,"")</f>
        <v/>
      </c>
      <c r="B107" s="153" t="n"/>
      <c r="C107" s="154" t="n"/>
      <c r="D107" s="154" t="n"/>
      <c r="E107" s="153" t="n"/>
      <c r="F107" s="153" t="n"/>
      <c r="G107" s="155" t="n"/>
      <c r="H107" s="155" t="n"/>
      <c r="I107" s="155">
        <f>IF(AND(G107&lt;&gt;"",H107&lt;&gt;""),G107-H107,"")</f>
        <v/>
      </c>
      <c r="J107" s="153" t="n"/>
      <c r="K107" s="153" t="n"/>
      <c r="L107" s="153" t="n"/>
      <c r="M107" s="153" t="n"/>
    </row>
    <row r="108">
      <c r="A108" s="150">
        <f>IF(B108&lt;&gt;"",ROW()-3,"")</f>
        <v/>
      </c>
      <c r="B108" s="150" t="n"/>
      <c r="C108" s="151" t="n"/>
      <c r="D108" s="151" t="n"/>
      <c r="E108" s="150" t="n"/>
      <c r="F108" s="150" t="n"/>
      <c r="G108" s="152" t="n"/>
      <c r="H108" s="152" t="n"/>
      <c r="I108" s="152">
        <f>IF(AND(G108&lt;&gt;"",H108&lt;&gt;""),G108-H108,"")</f>
        <v/>
      </c>
      <c r="J108" s="150" t="n"/>
      <c r="K108" s="150" t="n"/>
      <c r="L108" s="150" t="n"/>
      <c r="M108" s="150" t="n"/>
    </row>
    <row r="109">
      <c r="A109" s="153">
        <f>IF(B109&lt;&gt;"",ROW()-3,"")</f>
        <v/>
      </c>
      <c r="B109" s="153" t="n"/>
      <c r="C109" s="154" t="n"/>
      <c r="D109" s="154" t="n"/>
      <c r="E109" s="153" t="n"/>
      <c r="F109" s="153" t="n"/>
      <c r="G109" s="155" t="n"/>
      <c r="H109" s="155" t="n"/>
      <c r="I109" s="155">
        <f>IF(AND(G109&lt;&gt;"",H109&lt;&gt;""),G109-H109,"")</f>
        <v/>
      </c>
      <c r="J109" s="153" t="n"/>
      <c r="K109" s="153" t="n"/>
      <c r="L109" s="153" t="n"/>
      <c r="M109" s="153" t="n"/>
    </row>
    <row r="110">
      <c r="A110" s="150">
        <f>IF(B110&lt;&gt;"",ROW()-3,"")</f>
        <v/>
      </c>
      <c r="B110" s="150" t="n"/>
      <c r="C110" s="151" t="n"/>
      <c r="D110" s="151" t="n"/>
      <c r="E110" s="150" t="n"/>
      <c r="F110" s="150" t="n"/>
      <c r="G110" s="152" t="n"/>
      <c r="H110" s="152" t="n"/>
      <c r="I110" s="152">
        <f>IF(AND(G110&lt;&gt;"",H110&lt;&gt;""),G110-H110,"")</f>
        <v/>
      </c>
      <c r="J110" s="150" t="n"/>
      <c r="K110" s="150" t="n"/>
      <c r="L110" s="150" t="n"/>
      <c r="M110" s="150" t="n"/>
    </row>
    <row r="111">
      <c r="A111" s="153">
        <f>IF(B111&lt;&gt;"",ROW()-3,"")</f>
        <v/>
      </c>
      <c r="B111" s="153" t="n"/>
      <c r="C111" s="154" t="n"/>
      <c r="D111" s="154" t="n"/>
      <c r="E111" s="153" t="n"/>
      <c r="F111" s="153" t="n"/>
      <c r="G111" s="155" t="n"/>
      <c r="H111" s="155" t="n"/>
      <c r="I111" s="155">
        <f>IF(AND(G111&lt;&gt;"",H111&lt;&gt;""),G111-H111,"")</f>
        <v/>
      </c>
      <c r="J111" s="153" t="n"/>
      <c r="K111" s="153" t="n"/>
      <c r="L111" s="153" t="n"/>
      <c r="M111" s="153" t="n"/>
    </row>
    <row r="112">
      <c r="A112" s="150">
        <f>IF(B112&lt;&gt;"",ROW()-3,"")</f>
        <v/>
      </c>
      <c r="B112" s="150" t="n"/>
      <c r="C112" s="151" t="n"/>
      <c r="D112" s="151" t="n"/>
      <c r="E112" s="150" t="n"/>
      <c r="F112" s="150" t="n"/>
      <c r="G112" s="152" t="n"/>
      <c r="H112" s="152" t="n"/>
      <c r="I112" s="152">
        <f>IF(AND(G112&lt;&gt;"",H112&lt;&gt;""),G112-H112,"")</f>
        <v/>
      </c>
      <c r="J112" s="150" t="n"/>
      <c r="K112" s="150" t="n"/>
      <c r="L112" s="150" t="n"/>
      <c r="M112" s="150" t="n"/>
    </row>
    <row r="113">
      <c r="A113" s="153">
        <f>IF(B113&lt;&gt;"",ROW()-3,"")</f>
        <v/>
      </c>
      <c r="B113" s="153" t="n"/>
      <c r="C113" s="154" t="n"/>
      <c r="D113" s="154" t="n"/>
      <c r="E113" s="153" t="n"/>
      <c r="F113" s="153" t="n"/>
      <c r="G113" s="155" t="n"/>
      <c r="H113" s="155" t="n"/>
      <c r="I113" s="155">
        <f>IF(AND(G113&lt;&gt;"",H113&lt;&gt;""),G113-H113,"")</f>
        <v/>
      </c>
      <c r="J113" s="153" t="n"/>
      <c r="K113" s="153" t="n"/>
      <c r="L113" s="153" t="n"/>
      <c r="M113" s="153" t="n"/>
    </row>
    <row r="114">
      <c r="A114" s="150">
        <f>IF(B114&lt;&gt;"",ROW()-3,"")</f>
        <v/>
      </c>
      <c r="B114" s="150" t="n"/>
      <c r="C114" s="151" t="n"/>
      <c r="D114" s="151" t="n"/>
      <c r="E114" s="150" t="n"/>
      <c r="F114" s="150" t="n"/>
      <c r="G114" s="152" t="n"/>
      <c r="H114" s="152" t="n"/>
      <c r="I114" s="152">
        <f>IF(AND(G114&lt;&gt;"",H114&lt;&gt;""),G114-H114,"")</f>
        <v/>
      </c>
      <c r="J114" s="150" t="n"/>
      <c r="K114" s="150" t="n"/>
      <c r="L114" s="150" t="n"/>
      <c r="M114" s="150" t="n"/>
    </row>
    <row r="115">
      <c r="A115" s="153">
        <f>IF(B115&lt;&gt;"",ROW()-3,"")</f>
        <v/>
      </c>
      <c r="B115" s="153" t="n"/>
      <c r="C115" s="154" t="n"/>
      <c r="D115" s="154" t="n"/>
      <c r="E115" s="153" t="n"/>
      <c r="F115" s="153" t="n"/>
      <c r="G115" s="155" t="n"/>
      <c r="H115" s="155" t="n"/>
      <c r="I115" s="155">
        <f>IF(AND(G115&lt;&gt;"",H115&lt;&gt;""),G115-H115,"")</f>
        <v/>
      </c>
      <c r="J115" s="153" t="n"/>
      <c r="K115" s="153" t="n"/>
      <c r="L115" s="153" t="n"/>
      <c r="M115" s="153" t="n"/>
    </row>
    <row r="116">
      <c r="A116" s="150">
        <f>IF(B116&lt;&gt;"",ROW()-3,"")</f>
        <v/>
      </c>
      <c r="B116" s="150" t="n"/>
      <c r="C116" s="151" t="n"/>
      <c r="D116" s="151" t="n"/>
      <c r="E116" s="150" t="n"/>
      <c r="F116" s="150" t="n"/>
      <c r="G116" s="152" t="n"/>
      <c r="H116" s="152" t="n"/>
      <c r="I116" s="152">
        <f>IF(AND(G116&lt;&gt;"",H116&lt;&gt;""),G116-H116,"")</f>
        <v/>
      </c>
      <c r="J116" s="150" t="n"/>
      <c r="K116" s="150" t="n"/>
      <c r="L116" s="150" t="n"/>
      <c r="M116" s="150" t="n"/>
    </row>
    <row r="117">
      <c r="A117" s="153">
        <f>IF(B117&lt;&gt;"",ROW()-3,"")</f>
        <v/>
      </c>
      <c r="B117" s="153" t="n"/>
      <c r="C117" s="154" t="n"/>
      <c r="D117" s="154" t="n"/>
      <c r="E117" s="153" t="n"/>
      <c r="F117" s="153" t="n"/>
      <c r="G117" s="155" t="n"/>
      <c r="H117" s="155" t="n"/>
      <c r="I117" s="155">
        <f>IF(AND(G117&lt;&gt;"",H117&lt;&gt;""),G117-H117,"")</f>
        <v/>
      </c>
      <c r="J117" s="153" t="n"/>
      <c r="K117" s="153" t="n"/>
      <c r="L117" s="153" t="n"/>
      <c r="M117" s="153" t="n"/>
    </row>
    <row r="118">
      <c r="A118" s="150">
        <f>IF(B118&lt;&gt;"",ROW()-3,"")</f>
        <v/>
      </c>
      <c r="B118" s="150" t="n"/>
      <c r="C118" s="151" t="n"/>
      <c r="D118" s="151" t="n"/>
      <c r="E118" s="150" t="n"/>
      <c r="F118" s="150" t="n"/>
      <c r="G118" s="152" t="n"/>
      <c r="H118" s="152" t="n"/>
      <c r="I118" s="152">
        <f>IF(AND(G118&lt;&gt;"",H118&lt;&gt;""),G118-H118,"")</f>
        <v/>
      </c>
      <c r="J118" s="150" t="n"/>
      <c r="K118" s="150" t="n"/>
      <c r="L118" s="150" t="n"/>
      <c r="M118" s="150" t="n"/>
    </row>
    <row r="119">
      <c r="A119" s="153">
        <f>IF(B119&lt;&gt;"",ROW()-3,"")</f>
        <v/>
      </c>
      <c r="B119" s="153" t="n"/>
      <c r="C119" s="154" t="n"/>
      <c r="D119" s="154" t="n"/>
      <c r="E119" s="153" t="n"/>
      <c r="F119" s="153" t="n"/>
      <c r="G119" s="155" t="n"/>
      <c r="H119" s="155" t="n"/>
      <c r="I119" s="155">
        <f>IF(AND(G119&lt;&gt;"",H119&lt;&gt;""),G119-H119,"")</f>
        <v/>
      </c>
      <c r="J119" s="153" t="n"/>
      <c r="K119" s="153" t="n"/>
      <c r="L119" s="153" t="n"/>
      <c r="M119" s="153" t="n"/>
    </row>
    <row r="120">
      <c r="A120" s="150">
        <f>IF(B120&lt;&gt;"",ROW()-3,"")</f>
        <v/>
      </c>
      <c r="B120" s="150" t="n"/>
      <c r="C120" s="151" t="n"/>
      <c r="D120" s="151" t="n"/>
      <c r="E120" s="150" t="n"/>
      <c r="F120" s="150" t="n"/>
      <c r="G120" s="152" t="n"/>
      <c r="H120" s="152" t="n"/>
      <c r="I120" s="152">
        <f>IF(AND(G120&lt;&gt;"",H120&lt;&gt;""),G120-H120,"")</f>
        <v/>
      </c>
      <c r="J120" s="150" t="n"/>
      <c r="K120" s="150" t="n"/>
      <c r="L120" s="150" t="n"/>
      <c r="M120" s="150" t="n"/>
    </row>
    <row r="121">
      <c r="A121" s="153">
        <f>IF(B121&lt;&gt;"",ROW()-3,"")</f>
        <v/>
      </c>
      <c r="B121" s="153" t="n"/>
      <c r="C121" s="154" t="n"/>
      <c r="D121" s="154" t="n"/>
      <c r="E121" s="153" t="n"/>
      <c r="F121" s="153" t="n"/>
      <c r="G121" s="155" t="n"/>
      <c r="H121" s="155" t="n"/>
      <c r="I121" s="155">
        <f>IF(AND(G121&lt;&gt;"",H121&lt;&gt;""),G121-H121,"")</f>
        <v/>
      </c>
      <c r="J121" s="153" t="n"/>
      <c r="K121" s="153" t="n"/>
      <c r="L121" s="153" t="n"/>
      <c r="M121" s="153" t="n"/>
    </row>
    <row r="122">
      <c r="A122" s="150">
        <f>IF(B122&lt;&gt;"",ROW()-3,"")</f>
        <v/>
      </c>
      <c r="B122" s="150" t="n"/>
      <c r="C122" s="151" t="n"/>
      <c r="D122" s="151" t="n"/>
      <c r="E122" s="150" t="n"/>
      <c r="F122" s="150" t="n"/>
      <c r="G122" s="152" t="n"/>
      <c r="H122" s="152" t="n"/>
      <c r="I122" s="152">
        <f>IF(AND(G122&lt;&gt;"",H122&lt;&gt;""),G122-H122,"")</f>
        <v/>
      </c>
      <c r="J122" s="150" t="n"/>
      <c r="K122" s="150" t="n"/>
      <c r="L122" s="150" t="n"/>
      <c r="M122" s="150" t="n"/>
    </row>
    <row r="123">
      <c r="A123" s="153">
        <f>IF(B123&lt;&gt;"",ROW()-3,"")</f>
        <v/>
      </c>
      <c r="B123" s="153" t="n"/>
      <c r="C123" s="154" t="n"/>
      <c r="D123" s="154" t="n"/>
      <c r="E123" s="153" t="n"/>
      <c r="F123" s="153" t="n"/>
      <c r="G123" s="155" t="n"/>
      <c r="H123" s="155" t="n"/>
      <c r="I123" s="155">
        <f>IF(AND(G123&lt;&gt;"",H123&lt;&gt;""),G123-H123,"")</f>
        <v/>
      </c>
      <c r="J123" s="153" t="n"/>
      <c r="K123" s="153" t="n"/>
      <c r="L123" s="153" t="n"/>
      <c r="M123" s="153" t="n"/>
    </row>
    <row r="124">
      <c r="A124" s="150">
        <f>IF(B124&lt;&gt;"",ROW()-3,"")</f>
        <v/>
      </c>
      <c r="B124" s="150" t="n"/>
      <c r="C124" s="151" t="n"/>
      <c r="D124" s="151" t="n"/>
      <c r="E124" s="150" t="n"/>
      <c r="F124" s="150" t="n"/>
      <c r="G124" s="152" t="n"/>
      <c r="H124" s="152" t="n"/>
      <c r="I124" s="152">
        <f>IF(AND(G124&lt;&gt;"",H124&lt;&gt;""),G124-H124,"")</f>
        <v/>
      </c>
      <c r="J124" s="150" t="n"/>
      <c r="K124" s="150" t="n"/>
      <c r="L124" s="150" t="n"/>
      <c r="M124" s="150" t="n"/>
    </row>
    <row r="125">
      <c r="A125" s="153">
        <f>IF(B125&lt;&gt;"",ROW()-3,"")</f>
        <v/>
      </c>
      <c r="B125" s="153" t="n"/>
      <c r="C125" s="154" t="n"/>
      <c r="D125" s="154" t="n"/>
      <c r="E125" s="153" t="n"/>
      <c r="F125" s="153" t="n"/>
      <c r="G125" s="155" t="n"/>
      <c r="H125" s="155" t="n"/>
      <c r="I125" s="155">
        <f>IF(AND(G125&lt;&gt;"",H125&lt;&gt;""),G125-H125,"")</f>
        <v/>
      </c>
      <c r="J125" s="153" t="n"/>
      <c r="K125" s="153" t="n"/>
      <c r="L125" s="153" t="n"/>
      <c r="M125" s="153" t="n"/>
    </row>
    <row r="126">
      <c r="A126" s="150">
        <f>IF(B126&lt;&gt;"",ROW()-3,"")</f>
        <v/>
      </c>
      <c r="B126" s="150" t="n"/>
      <c r="C126" s="151" t="n"/>
      <c r="D126" s="151" t="n"/>
      <c r="E126" s="150" t="n"/>
      <c r="F126" s="150" t="n"/>
      <c r="G126" s="152" t="n"/>
      <c r="H126" s="152" t="n"/>
      <c r="I126" s="152">
        <f>IF(AND(G126&lt;&gt;"",H126&lt;&gt;""),G126-H126,"")</f>
        <v/>
      </c>
      <c r="J126" s="150" t="n"/>
      <c r="K126" s="150" t="n"/>
      <c r="L126" s="150" t="n"/>
      <c r="M126" s="150" t="n"/>
    </row>
    <row r="127">
      <c r="A127" s="153">
        <f>IF(B127&lt;&gt;"",ROW()-3,"")</f>
        <v/>
      </c>
      <c r="B127" s="153" t="n"/>
      <c r="C127" s="154" t="n"/>
      <c r="D127" s="154" t="n"/>
      <c r="E127" s="153" t="n"/>
      <c r="F127" s="153" t="n"/>
      <c r="G127" s="155" t="n"/>
      <c r="H127" s="155" t="n"/>
      <c r="I127" s="155">
        <f>IF(AND(G127&lt;&gt;"",H127&lt;&gt;""),G127-H127,"")</f>
        <v/>
      </c>
      <c r="J127" s="153" t="n"/>
      <c r="K127" s="153" t="n"/>
      <c r="L127" s="153" t="n"/>
      <c r="M127" s="153" t="n"/>
    </row>
    <row r="128">
      <c r="A128" s="150">
        <f>IF(B128&lt;&gt;"",ROW()-3,"")</f>
        <v/>
      </c>
      <c r="B128" s="150" t="n"/>
      <c r="C128" s="151" t="n"/>
      <c r="D128" s="151" t="n"/>
      <c r="E128" s="150" t="n"/>
      <c r="F128" s="150" t="n"/>
      <c r="G128" s="152" t="n"/>
      <c r="H128" s="152" t="n"/>
      <c r="I128" s="152">
        <f>IF(AND(G128&lt;&gt;"",H128&lt;&gt;""),G128-H128,"")</f>
        <v/>
      </c>
      <c r="J128" s="150" t="n"/>
      <c r="K128" s="150" t="n"/>
      <c r="L128" s="150" t="n"/>
      <c r="M128" s="150" t="n"/>
    </row>
    <row r="129">
      <c r="A129" s="153">
        <f>IF(B129&lt;&gt;"",ROW()-3,"")</f>
        <v/>
      </c>
      <c r="B129" s="153" t="n"/>
      <c r="C129" s="154" t="n"/>
      <c r="D129" s="154" t="n"/>
      <c r="E129" s="153" t="n"/>
      <c r="F129" s="153" t="n"/>
      <c r="G129" s="155" t="n"/>
      <c r="H129" s="155" t="n"/>
      <c r="I129" s="155">
        <f>IF(AND(G129&lt;&gt;"",H129&lt;&gt;""),G129-H129,"")</f>
        <v/>
      </c>
      <c r="J129" s="153" t="n"/>
      <c r="K129" s="153" t="n"/>
      <c r="L129" s="153" t="n"/>
      <c r="M129" s="153" t="n"/>
    </row>
    <row r="130">
      <c r="A130" s="150">
        <f>IF(B130&lt;&gt;"",ROW()-3,"")</f>
        <v/>
      </c>
      <c r="B130" s="150" t="n"/>
      <c r="C130" s="151" t="n"/>
      <c r="D130" s="151" t="n"/>
      <c r="E130" s="150" t="n"/>
      <c r="F130" s="150" t="n"/>
      <c r="G130" s="152" t="n"/>
      <c r="H130" s="152" t="n"/>
      <c r="I130" s="152">
        <f>IF(AND(G130&lt;&gt;"",H130&lt;&gt;""),G130-H130,"")</f>
        <v/>
      </c>
      <c r="J130" s="150" t="n"/>
      <c r="K130" s="150" t="n"/>
      <c r="L130" s="150" t="n"/>
      <c r="M130" s="150" t="n"/>
    </row>
    <row r="131">
      <c r="A131" s="153">
        <f>IF(B131&lt;&gt;"",ROW()-3,"")</f>
        <v/>
      </c>
      <c r="B131" s="153" t="n"/>
      <c r="C131" s="154" t="n"/>
      <c r="D131" s="154" t="n"/>
      <c r="E131" s="153" t="n"/>
      <c r="F131" s="153" t="n"/>
      <c r="G131" s="155" t="n"/>
      <c r="H131" s="155" t="n"/>
      <c r="I131" s="155">
        <f>IF(AND(G131&lt;&gt;"",H131&lt;&gt;""),G131-H131,"")</f>
        <v/>
      </c>
      <c r="J131" s="153" t="n"/>
      <c r="K131" s="153" t="n"/>
      <c r="L131" s="153" t="n"/>
      <c r="M131" s="153" t="n"/>
    </row>
    <row r="132">
      <c r="A132" s="150">
        <f>IF(B132&lt;&gt;"",ROW()-3,"")</f>
        <v/>
      </c>
      <c r="B132" s="150" t="n"/>
      <c r="C132" s="151" t="n"/>
      <c r="D132" s="151" t="n"/>
      <c r="E132" s="150" t="n"/>
      <c r="F132" s="150" t="n"/>
      <c r="G132" s="152" t="n"/>
      <c r="H132" s="152" t="n"/>
      <c r="I132" s="152">
        <f>IF(AND(G132&lt;&gt;"",H132&lt;&gt;""),G132-H132,"")</f>
        <v/>
      </c>
      <c r="J132" s="150" t="n"/>
      <c r="K132" s="150" t="n"/>
      <c r="L132" s="150" t="n"/>
      <c r="M132" s="150" t="n"/>
    </row>
    <row r="133">
      <c r="A133" s="153">
        <f>IF(B133&lt;&gt;"",ROW()-3,"")</f>
        <v/>
      </c>
      <c r="B133" s="153" t="n"/>
      <c r="C133" s="154" t="n"/>
      <c r="D133" s="154" t="n"/>
      <c r="E133" s="153" t="n"/>
      <c r="F133" s="153" t="n"/>
      <c r="G133" s="155" t="n"/>
      <c r="H133" s="155" t="n"/>
      <c r="I133" s="155">
        <f>IF(AND(G133&lt;&gt;"",H133&lt;&gt;""),G133-H133,"")</f>
        <v/>
      </c>
      <c r="J133" s="153" t="n"/>
      <c r="K133" s="153" t="n"/>
      <c r="L133" s="153" t="n"/>
      <c r="M133" s="153" t="n"/>
    </row>
    <row r="134">
      <c r="A134" s="150">
        <f>IF(B134&lt;&gt;"",ROW()-3,"")</f>
        <v/>
      </c>
      <c r="B134" s="150" t="n"/>
      <c r="C134" s="151" t="n"/>
      <c r="D134" s="151" t="n"/>
      <c r="E134" s="150" t="n"/>
      <c r="F134" s="150" t="n"/>
      <c r="G134" s="152" t="n"/>
      <c r="H134" s="152" t="n"/>
      <c r="I134" s="152">
        <f>IF(AND(G134&lt;&gt;"",H134&lt;&gt;""),G134-H134,"")</f>
        <v/>
      </c>
      <c r="J134" s="150" t="n"/>
      <c r="K134" s="150" t="n"/>
      <c r="L134" s="150" t="n"/>
      <c r="M134" s="150" t="n"/>
    </row>
    <row r="135">
      <c r="A135" s="153">
        <f>IF(B135&lt;&gt;"",ROW()-3,"")</f>
        <v/>
      </c>
      <c r="B135" s="153" t="n"/>
      <c r="C135" s="154" t="n"/>
      <c r="D135" s="154" t="n"/>
      <c r="E135" s="153" t="n"/>
      <c r="F135" s="153" t="n"/>
      <c r="G135" s="155" t="n"/>
      <c r="H135" s="155" t="n"/>
      <c r="I135" s="155">
        <f>IF(AND(G135&lt;&gt;"",H135&lt;&gt;""),G135-H135,"")</f>
        <v/>
      </c>
      <c r="J135" s="153" t="n"/>
      <c r="K135" s="153" t="n"/>
      <c r="L135" s="153" t="n"/>
      <c r="M135" s="153" t="n"/>
    </row>
    <row r="136">
      <c r="A136" s="150">
        <f>IF(B136&lt;&gt;"",ROW()-3,"")</f>
        <v/>
      </c>
      <c r="B136" s="150" t="n"/>
      <c r="C136" s="151" t="n"/>
      <c r="D136" s="151" t="n"/>
      <c r="E136" s="150" t="n"/>
      <c r="F136" s="150" t="n"/>
      <c r="G136" s="152" t="n"/>
      <c r="H136" s="152" t="n"/>
      <c r="I136" s="152">
        <f>IF(AND(G136&lt;&gt;"",H136&lt;&gt;""),G136-H136,"")</f>
        <v/>
      </c>
      <c r="J136" s="150" t="n"/>
      <c r="K136" s="150" t="n"/>
      <c r="L136" s="150" t="n"/>
      <c r="M136" s="150" t="n"/>
    </row>
    <row r="137">
      <c r="A137" s="153">
        <f>IF(B137&lt;&gt;"",ROW()-3,"")</f>
        <v/>
      </c>
      <c r="B137" s="153" t="n"/>
      <c r="C137" s="154" t="n"/>
      <c r="D137" s="154" t="n"/>
      <c r="E137" s="153" t="n"/>
      <c r="F137" s="153" t="n"/>
      <c r="G137" s="155" t="n"/>
      <c r="H137" s="155" t="n"/>
      <c r="I137" s="155">
        <f>IF(AND(G137&lt;&gt;"",H137&lt;&gt;""),G137-H137,"")</f>
        <v/>
      </c>
      <c r="J137" s="153" t="n"/>
      <c r="K137" s="153" t="n"/>
      <c r="L137" s="153" t="n"/>
      <c r="M137" s="153" t="n"/>
    </row>
    <row r="138">
      <c r="A138" s="150">
        <f>IF(B138&lt;&gt;"",ROW()-3,"")</f>
        <v/>
      </c>
      <c r="B138" s="150" t="n"/>
      <c r="C138" s="151" t="n"/>
      <c r="D138" s="151" t="n"/>
      <c r="E138" s="150" t="n"/>
      <c r="F138" s="150" t="n"/>
      <c r="G138" s="152" t="n"/>
      <c r="H138" s="152" t="n"/>
      <c r="I138" s="152">
        <f>IF(AND(G138&lt;&gt;"",H138&lt;&gt;""),G138-H138,"")</f>
        <v/>
      </c>
      <c r="J138" s="150" t="n"/>
      <c r="K138" s="150" t="n"/>
      <c r="L138" s="150" t="n"/>
      <c r="M138" s="150" t="n"/>
    </row>
    <row r="139">
      <c r="A139" s="153">
        <f>IF(B139&lt;&gt;"",ROW()-3,"")</f>
        <v/>
      </c>
      <c r="B139" s="153" t="n"/>
      <c r="C139" s="154" t="n"/>
      <c r="D139" s="154" t="n"/>
      <c r="E139" s="153" t="n"/>
      <c r="F139" s="153" t="n"/>
      <c r="G139" s="155" t="n"/>
      <c r="H139" s="155" t="n"/>
      <c r="I139" s="155">
        <f>IF(AND(G139&lt;&gt;"",H139&lt;&gt;""),G139-H139,"")</f>
        <v/>
      </c>
      <c r="J139" s="153" t="n"/>
      <c r="K139" s="153" t="n"/>
      <c r="L139" s="153" t="n"/>
      <c r="M139" s="153" t="n"/>
    </row>
    <row r="140">
      <c r="A140" s="150">
        <f>IF(B140&lt;&gt;"",ROW()-3,"")</f>
        <v/>
      </c>
      <c r="B140" s="150" t="n"/>
      <c r="C140" s="151" t="n"/>
      <c r="D140" s="151" t="n"/>
      <c r="E140" s="150" t="n"/>
      <c r="F140" s="150" t="n"/>
      <c r="G140" s="152" t="n"/>
      <c r="H140" s="152" t="n"/>
      <c r="I140" s="152">
        <f>IF(AND(G140&lt;&gt;"",H140&lt;&gt;""),G140-H140,"")</f>
        <v/>
      </c>
      <c r="J140" s="150" t="n"/>
      <c r="K140" s="150" t="n"/>
      <c r="L140" s="150" t="n"/>
      <c r="M140" s="150" t="n"/>
    </row>
    <row r="141">
      <c r="A141" s="153">
        <f>IF(B141&lt;&gt;"",ROW()-3,"")</f>
        <v/>
      </c>
      <c r="B141" s="153" t="n"/>
      <c r="C141" s="154" t="n"/>
      <c r="D141" s="154" t="n"/>
      <c r="E141" s="153" t="n"/>
      <c r="F141" s="153" t="n"/>
      <c r="G141" s="155" t="n"/>
      <c r="H141" s="155" t="n"/>
      <c r="I141" s="155">
        <f>IF(AND(G141&lt;&gt;"",H141&lt;&gt;""),G141-H141,"")</f>
        <v/>
      </c>
      <c r="J141" s="153" t="n"/>
      <c r="K141" s="153" t="n"/>
      <c r="L141" s="153" t="n"/>
      <c r="M141" s="153" t="n"/>
    </row>
    <row r="142">
      <c r="A142" s="150">
        <f>IF(B142&lt;&gt;"",ROW()-3,"")</f>
        <v/>
      </c>
      <c r="B142" s="150" t="n"/>
      <c r="C142" s="151" t="n"/>
      <c r="D142" s="151" t="n"/>
      <c r="E142" s="150" t="n"/>
      <c r="F142" s="150" t="n"/>
      <c r="G142" s="152" t="n"/>
      <c r="H142" s="152" t="n"/>
      <c r="I142" s="152">
        <f>IF(AND(G142&lt;&gt;"",H142&lt;&gt;""),G142-H142,"")</f>
        <v/>
      </c>
      <c r="J142" s="150" t="n"/>
      <c r="K142" s="150" t="n"/>
      <c r="L142" s="150" t="n"/>
      <c r="M142" s="150" t="n"/>
    </row>
    <row r="143">
      <c r="A143" s="153">
        <f>IF(B143&lt;&gt;"",ROW()-3,"")</f>
        <v/>
      </c>
      <c r="B143" s="153" t="n"/>
      <c r="C143" s="154" t="n"/>
      <c r="D143" s="154" t="n"/>
      <c r="E143" s="153" t="n"/>
      <c r="F143" s="153" t="n"/>
      <c r="G143" s="155" t="n"/>
      <c r="H143" s="155" t="n"/>
      <c r="I143" s="155">
        <f>IF(AND(G143&lt;&gt;"",H143&lt;&gt;""),G143-H143,"")</f>
        <v/>
      </c>
      <c r="J143" s="153" t="n"/>
      <c r="K143" s="153" t="n"/>
      <c r="L143" s="153" t="n"/>
      <c r="M143" s="153" t="n"/>
    </row>
    <row r="144">
      <c r="A144" s="150">
        <f>IF(B144&lt;&gt;"",ROW()-3,"")</f>
        <v/>
      </c>
      <c r="B144" s="150" t="n"/>
      <c r="C144" s="151" t="n"/>
      <c r="D144" s="151" t="n"/>
      <c r="E144" s="150" t="n"/>
      <c r="F144" s="150" t="n"/>
      <c r="G144" s="152" t="n"/>
      <c r="H144" s="152" t="n"/>
      <c r="I144" s="152">
        <f>IF(AND(G144&lt;&gt;"",H144&lt;&gt;""),G144-H144,"")</f>
        <v/>
      </c>
      <c r="J144" s="150" t="n"/>
      <c r="K144" s="150" t="n"/>
      <c r="L144" s="150" t="n"/>
      <c r="M144" s="150" t="n"/>
    </row>
    <row r="145">
      <c r="A145" s="153">
        <f>IF(B145&lt;&gt;"",ROW()-3,"")</f>
        <v/>
      </c>
      <c r="B145" s="153" t="n"/>
      <c r="C145" s="154" t="n"/>
      <c r="D145" s="154" t="n"/>
      <c r="E145" s="153" t="n"/>
      <c r="F145" s="153" t="n"/>
      <c r="G145" s="155" t="n"/>
      <c r="H145" s="155" t="n"/>
      <c r="I145" s="155">
        <f>IF(AND(G145&lt;&gt;"",H145&lt;&gt;""),G145-H145,"")</f>
        <v/>
      </c>
      <c r="J145" s="153" t="n"/>
      <c r="K145" s="153" t="n"/>
      <c r="L145" s="153" t="n"/>
      <c r="M145" s="153" t="n"/>
    </row>
    <row r="146">
      <c r="A146" s="150">
        <f>IF(B146&lt;&gt;"",ROW()-3,"")</f>
        <v/>
      </c>
      <c r="B146" s="150" t="n"/>
      <c r="C146" s="151" t="n"/>
      <c r="D146" s="151" t="n"/>
      <c r="E146" s="150" t="n"/>
      <c r="F146" s="150" t="n"/>
      <c r="G146" s="152" t="n"/>
      <c r="H146" s="152" t="n"/>
      <c r="I146" s="152">
        <f>IF(AND(G146&lt;&gt;"",H146&lt;&gt;""),G146-H146,"")</f>
        <v/>
      </c>
      <c r="J146" s="150" t="n"/>
      <c r="K146" s="150" t="n"/>
      <c r="L146" s="150" t="n"/>
      <c r="M146" s="150" t="n"/>
    </row>
    <row r="147">
      <c r="A147" s="153">
        <f>IF(B147&lt;&gt;"",ROW()-3,"")</f>
        <v/>
      </c>
      <c r="B147" s="153" t="n"/>
      <c r="C147" s="154" t="n"/>
      <c r="D147" s="154" t="n"/>
      <c r="E147" s="153" t="n"/>
      <c r="F147" s="153" t="n"/>
      <c r="G147" s="155" t="n"/>
      <c r="H147" s="155" t="n"/>
      <c r="I147" s="155">
        <f>IF(AND(G147&lt;&gt;"",H147&lt;&gt;""),G147-H147,"")</f>
        <v/>
      </c>
      <c r="J147" s="153" t="n"/>
      <c r="K147" s="153" t="n"/>
      <c r="L147" s="153" t="n"/>
      <c r="M147" s="153" t="n"/>
    </row>
    <row r="148">
      <c r="A148" s="150">
        <f>IF(B148&lt;&gt;"",ROW()-3,"")</f>
        <v/>
      </c>
      <c r="B148" s="150" t="n"/>
      <c r="C148" s="151" t="n"/>
      <c r="D148" s="151" t="n"/>
      <c r="E148" s="150" t="n"/>
      <c r="F148" s="150" t="n"/>
      <c r="G148" s="152" t="n"/>
      <c r="H148" s="152" t="n"/>
      <c r="I148" s="152">
        <f>IF(AND(G148&lt;&gt;"",H148&lt;&gt;""),G148-H148,"")</f>
        <v/>
      </c>
      <c r="J148" s="150" t="n"/>
      <c r="K148" s="150" t="n"/>
      <c r="L148" s="150" t="n"/>
      <c r="M148" s="150" t="n"/>
    </row>
    <row r="149">
      <c r="A149" s="153">
        <f>IF(B149&lt;&gt;"",ROW()-3,"")</f>
        <v/>
      </c>
      <c r="B149" s="153" t="n"/>
      <c r="C149" s="154" t="n"/>
      <c r="D149" s="154" t="n"/>
      <c r="E149" s="153" t="n"/>
      <c r="F149" s="153" t="n"/>
      <c r="G149" s="155" t="n"/>
      <c r="H149" s="155" t="n"/>
      <c r="I149" s="155">
        <f>IF(AND(G149&lt;&gt;"",H149&lt;&gt;""),G149-H149,"")</f>
        <v/>
      </c>
      <c r="J149" s="153" t="n"/>
      <c r="K149" s="153" t="n"/>
      <c r="L149" s="153" t="n"/>
      <c r="M149" s="153" t="n"/>
    </row>
    <row r="150">
      <c r="A150" s="150">
        <f>IF(B150&lt;&gt;"",ROW()-3,"")</f>
        <v/>
      </c>
      <c r="B150" s="150" t="n"/>
      <c r="C150" s="151" t="n"/>
      <c r="D150" s="151" t="n"/>
      <c r="E150" s="150" t="n"/>
      <c r="F150" s="150" t="n"/>
      <c r="G150" s="152" t="n"/>
      <c r="H150" s="152" t="n"/>
      <c r="I150" s="152">
        <f>IF(AND(G150&lt;&gt;"",H150&lt;&gt;""),G150-H150,"")</f>
        <v/>
      </c>
      <c r="J150" s="150" t="n"/>
      <c r="K150" s="150" t="n"/>
      <c r="L150" s="150" t="n"/>
      <c r="M150" s="150" t="n"/>
    </row>
    <row r="151">
      <c r="A151" s="153">
        <f>IF(B151&lt;&gt;"",ROW()-3,"")</f>
        <v/>
      </c>
      <c r="B151" s="153" t="n"/>
      <c r="C151" s="154" t="n"/>
      <c r="D151" s="154" t="n"/>
      <c r="E151" s="153" t="n"/>
      <c r="F151" s="153" t="n"/>
      <c r="G151" s="155" t="n"/>
      <c r="H151" s="155" t="n"/>
      <c r="I151" s="155">
        <f>IF(AND(G151&lt;&gt;"",H151&lt;&gt;""),G151-H151,"")</f>
        <v/>
      </c>
      <c r="J151" s="153" t="n"/>
      <c r="K151" s="153" t="n"/>
      <c r="L151" s="153" t="n"/>
      <c r="M151" s="153" t="n"/>
    </row>
    <row r="152">
      <c r="A152" s="150">
        <f>IF(B152&lt;&gt;"",ROW()-3,"")</f>
        <v/>
      </c>
      <c r="B152" s="150" t="n"/>
      <c r="C152" s="151" t="n"/>
      <c r="D152" s="151" t="n"/>
      <c r="E152" s="150" t="n"/>
      <c r="F152" s="150" t="n"/>
      <c r="G152" s="152" t="n"/>
      <c r="H152" s="152" t="n"/>
      <c r="I152" s="152">
        <f>IF(AND(G152&lt;&gt;"",H152&lt;&gt;""),G152-H152,"")</f>
        <v/>
      </c>
      <c r="J152" s="150" t="n"/>
      <c r="K152" s="150" t="n"/>
      <c r="L152" s="150" t="n"/>
      <c r="M152" s="150" t="n"/>
    </row>
    <row r="153">
      <c r="A153" s="153">
        <f>IF(B153&lt;&gt;"",ROW()-3,"")</f>
        <v/>
      </c>
      <c r="B153" s="153" t="n"/>
      <c r="C153" s="154" t="n"/>
      <c r="D153" s="154" t="n"/>
      <c r="E153" s="153" t="n"/>
      <c r="F153" s="153" t="n"/>
      <c r="G153" s="155" t="n"/>
      <c r="H153" s="155" t="n"/>
      <c r="I153" s="155">
        <f>IF(AND(G153&lt;&gt;"",H153&lt;&gt;""),G153-H153,"")</f>
        <v/>
      </c>
      <c r="J153" s="153" t="n"/>
      <c r="K153" s="153" t="n"/>
      <c r="L153" s="153" t="n"/>
      <c r="M153" s="153" t="n"/>
    </row>
    <row r="154">
      <c r="A154" s="150">
        <f>IF(B154&lt;&gt;"",ROW()-3,"")</f>
        <v/>
      </c>
      <c r="B154" s="150" t="n"/>
      <c r="C154" s="151" t="n"/>
      <c r="D154" s="151" t="n"/>
      <c r="E154" s="150" t="n"/>
      <c r="F154" s="150" t="n"/>
      <c r="G154" s="152" t="n"/>
      <c r="H154" s="152" t="n"/>
      <c r="I154" s="152">
        <f>IF(AND(G154&lt;&gt;"",H154&lt;&gt;""),G154-H154,"")</f>
        <v/>
      </c>
      <c r="J154" s="150" t="n"/>
      <c r="K154" s="150" t="n"/>
      <c r="L154" s="150" t="n"/>
      <c r="M154" s="150" t="n"/>
    </row>
    <row r="155">
      <c r="A155" s="153">
        <f>IF(B155&lt;&gt;"",ROW()-3,"")</f>
        <v/>
      </c>
      <c r="B155" s="153" t="n"/>
      <c r="C155" s="154" t="n"/>
      <c r="D155" s="154" t="n"/>
      <c r="E155" s="153" t="n"/>
      <c r="F155" s="153" t="n"/>
      <c r="G155" s="155" t="n"/>
      <c r="H155" s="155" t="n"/>
      <c r="I155" s="155">
        <f>IF(AND(G155&lt;&gt;"",H155&lt;&gt;""),G155-H155,"")</f>
        <v/>
      </c>
      <c r="J155" s="153" t="n"/>
      <c r="K155" s="153" t="n"/>
      <c r="L155" s="153" t="n"/>
      <c r="M155" s="153" t="n"/>
    </row>
    <row r="156">
      <c r="A156" s="150">
        <f>IF(B156&lt;&gt;"",ROW()-3,"")</f>
        <v/>
      </c>
      <c r="B156" s="150" t="n"/>
      <c r="C156" s="151" t="n"/>
      <c r="D156" s="151" t="n"/>
      <c r="E156" s="150" t="n"/>
      <c r="F156" s="150" t="n"/>
      <c r="G156" s="152" t="n"/>
      <c r="H156" s="152" t="n"/>
      <c r="I156" s="152">
        <f>IF(AND(G156&lt;&gt;"",H156&lt;&gt;""),G156-H156,"")</f>
        <v/>
      </c>
      <c r="J156" s="150" t="n"/>
      <c r="K156" s="150" t="n"/>
      <c r="L156" s="150" t="n"/>
      <c r="M156" s="150" t="n"/>
    </row>
    <row r="157">
      <c r="A157" s="153">
        <f>IF(B157&lt;&gt;"",ROW()-3,"")</f>
        <v/>
      </c>
      <c r="B157" s="153" t="n"/>
      <c r="C157" s="154" t="n"/>
      <c r="D157" s="154" t="n"/>
      <c r="E157" s="153" t="n"/>
      <c r="F157" s="153" t="n"/>
      <c r="G157" s="155" t="n"/>
      <c r="H157" s="155" t="n"/>
      <c r="I157" s="155">
        <f>IF(AND(G157&lt;&gt;"",H157&lt;&gt;""),G157-H157,"")</f>
        <v/>
      </c>
      <c r="J157" s="153" t="n"/>
      <c r="K157" s="153" t="n"/>
      <c r="L157" s="153" t="n"/>
      <c r="M157" s="153" t="n"/>
    </row>
    <row r="158">
      <c r="A158" s="150">
        <f>IF(B158&lt;&gt;"",ROW()-3,"")</f>
        <v/>
      </c>
      <c r="B158" s="150" t="n"/>
      <c r="C158" s="151" t="n"/>
      <c r="D158" s="151" t="n"/>
      <c r="E158" s="150" t="n"/>
      <c r="F158" s="150" t="n"/>
      <c r="G158" s="152" t="n"/>
      <c r="H158" s="152" t="n"/>
      <c r="I158" s="152">
        <f>IF(AND(G158&lt;&gt;"",H158&lt;&gt;""),G158-H158,"")</f>
        <v/>
      </c>
      <c r="J158" s="150" t="n"/>
      <c r="K158" s="150" t="n"/>
      <c r="L158" s="150" t="n"/>
      <c r="M158" s="150" t="n"/>
    </row>
    <row r="159">
      <c r="A159" s="153">
        <f>IF(B159&lt;&gt;"",ROW()-3,"")</f>
        <v/>
      </c>
      <c r="B159" s="153" t="n"/>
      <c r="C159" s="154" t="n"/>
      <c r="D159" s="154" t="n"/>
      <c r="E159" s="153" t="n"/>
      <c r="F159" s="153" t="n"/>
      <c r="G159" s="155" t="n"/>
      <c r="H159" s="155" t="n"/>
      <c r="I159" s="155">
        <f>IF(AND(G159&lt;&gt;"",H159&lt;&gt;""),G159-H159,"")</f>
        <v/>
      </c>
      <c r="J159" s="153" t="n"/>
      <c r="K159" s="153" t="n"/>
      <c r="L159" s="153" t="n"/>
      <c r="M159" s="153" t="n"/>
    </row>
    <row r="160">
      <c r="A160" s="150">
        <f>IF(B160&lt;&gt;"",ROW()-3,"")</f>
        <v/>
      </c>
      <c r="B160" s="150" t="n"/>
      <c r="C160" s="151" t="n"/>
      <c r="D160" s="151" t="n"/>
      <c r="E160" s="150" t="n"/>
      <c r="F160" s="150" t="n"/>
      <c r="G160" s="152" t="n"/>
      <c r="H160" s="152" t="n"/>
      <c r="I160" s="152">
        <f>IF(AND(G160&lt;&gt;"",H160&lt;&gt;""),G160-H160,"")</f>
        <v/>
      </c>
      <c r="J160" s="150" t="n"/>
      <c r="K160" s="150" t="n"/>
      <c r="L160" s="150" t="n"/>
      <c r="M160" s="150" t="n"/>
    </row>
    <row r="161">
      <c r="A161" s="153">
        <f>IF(B161&lt;&gt;"",ROW()-3,"")</f>
        <v/>
      </c>
      <c r="B161" s="153" t="n"/>
      <c r="C161" s="154" t="n"/>
      <c r="D161" s="154" t="n"/>
      <c r="E161" s="153" t="n"/>
      <c r="F161" s="153" t="n"/>
      <c r="G161" s="155" t="n"/>
      <c r="H161" s="155" t="n"/>
      <c r="I161" s="155">
        <f>IF(AND(G161&lt;&gt;"",H161&lt;&gt;""),G161-H161,"")</f>
        <v/>
      </c>
      <c r="J161" s="153" t="n"/>
      <c r="K161" s="153" t="n"/>
      <c r="L161" s="153" t="n"/>
      <c r="M161" s="153" t="n"/>
    </row>
    <row r="162">
      <c r="A162" s="150">
        <f>IF(B162&lt;&gt;"",ROW()-3,"")</f>
        <v/>
      </c>
      <c r="B162" s="150" t="n"/>
      <c r="C162" s="151" t="n"/>
      <c r="D162" s="151" t="n"/>
      <c r="E162" s="150" t="n"/>
      <c r="F162" s="150" t="n"/>
      <c r="G162" s="152" t="n"/>
      <c r="H162" s="152" t="n"/>
      <c r="I162" s="152">
        <f>IF(AND(G162&lt;&gt;"",H162&lt;&gt;""),G162-H162,"")</f>
        <v/>
      </c>
      <c r="J162" s="150" t="n"/>
      <c r="K162" s="150" t="n"/>
      <c r="L162" s="150" t="n"/>
      <c r="M162" s="150" t="n"/>
    </row>
    <row r="163">
      <c r="A163" s="153">
        <f>IF(B163&lt;&gt;"",ROW()-3,"")</f>
        <v/>
      </c>
      <c r="B163" s="153" t="n"/>
      <c r="C163" s="154" t="n"/>
      <c r="D163" s="154" t="n"/>
      <c r="E163" s="153" t="n"/>
      <c r="F163" s="153" t="n"/>
      <c r="G163" s="155" t="n"/>
      <c r="H163" s="155" t="n"/>
      <c r="I163" s="155">
        <f>IF(AND(G163&lt;&gt;"",H163&lt;&gt;""),G163-H163,"")</f>
        <v/>
      </c>
      <c r="J163" s="153" t="n"/>
      <c r="K163" s="153" t="n"/>
      <c r="L163" s="153" t="n"/>
      <c r="M163" s="153" t="n"/>
    </row>
    <row r="164">
      <c r="A164" s="150">
        <f>IF(B164&lt;&gt;"",ROW()-3,"")</f>
        <v/>
      </c>
      <c r="B164" s="150" t="n"/>
      <c r="C164" s="151" t="n"/>
      <c r="D164" s="151" t="n"/>
      <c r="E164" s="150" t="n"/>
      <c r="F164" s="150" t="n"/>
      <c r="G164" s="152" t="n"/>
      <c r="H164" s="152" t="n"/>
      <c r="I164" s="152">
        <f>IF(AND(G164&lt;&gt;"",H164&lt;&gt;""),G164-H164,"")</f>
        <v/>
      </c>
      <c r="J164" s="150" t="n"/>
      <c r="K164" s="150" t="n"/>
      <c r="L164" s="150" t="n"/>
      <c r="M164" s="150" t="n"/>
    </row>
    <row r="165">
      <c r="A165" s="153">
        <f>IF(B165&lt;&gt;"",ROW()-3,"")</f>
        <v/>
      </c>
      <c r="B165" s="153" t="n"/>
      <c r="C165" s="154" t="n"/>
      <c r="D165" s="154" t="n"/>
      <c r="E165" s="153" t="n"/>
      <c r="F165" s="153" t="n"/>
      <c r="G165" s="155" t="n"/>
      <c r="H165" s="155" t="n"/>
      <c r="I165" s="155">
        <f>IF(AND(G165&lt;&gt;"",H165&lt;&gt;""),G165-H165,"")</f>
        <v/>
      </c>
      <c r="J165" s="153" t="n"/>
      <c r="K165" s="153" t="n"/>
      <c r="L165" s="153" t="n"/>
      <c r="M165" s="153" t="n"/>
    </row>
    <row r="166">
      <c r="A166" s="150">
        <f>IF(B166&lt;&gt;"",ROW()-3,"")</f>
        <v/>
      </c>
      <c r="B166" s="150" t="n"/>
      <c r="C166" s="151" t="n"/>
      <c r="D166" s="151" t="n"/>
      <c r="E166" s="150" t="n"/>
      <c r="F166" s="150" t="n"/>
      <c r="G166" s="152" t="n"/>
      <c r="H166" s="152" t="n"/>
      <c r="I166" s="152">
        <f>IF(AND(G166&lt;&gt;"",H166&lt;&gt;""),G166-H166,"")</f>
        <v/>
      </c>
      <c r="J166" s="150" t="n"/>
      <c r="K166" s="150" t="n"/>
      <c r="L166" s="150" t="n"/>
      <c r="M166" s="150" t="n"/>
    </row>
    <row r="167">
      <c r="A167" s="153">
        <f>IF(B167&lt;&gt;"",ROW()-3,"")</f>
        <v/>
      </c>
      <c r="B167" s="153" t="n"/>
      <c r="C167" s="154" t="n"/>
      <c r="D167" s="154" t="n"/>
      <c r="E167" s="153" t="n"/>
      <c r="F167" s="153" t="n"/>
      <c r="G167" s="155" t="n"/>
      <c r="H167" s="155" t="n"/>
      <c r="I167" s="155">
        <f>IF(AND(G167&lt;&gt;"",H167&lt;&gt;""),G167-H167,"")</f>
        <v/>
      </c>
      <c r="J167" s="153" t="n"/>
      <c r="K167" s="153" t="n"/>
      <c r="L167" s="153" t="n"/>
      <c r="M167" s="153" t="n"/>
    </row>
    <row r="168">
      <c r="A168" s="150">
        <f>IF(B168&lt;&gt;"",ROW()-3,"")</f>
        <v/>
      </c>
      <c r="B168" s="150" t="n"/>
      <c r="C168" s="151" t="n"/>
      <c r="D168" s="151" t="n"/>
      <c r="E168" s="150" t="n"/>
      <c r="F168" s="150" t="n"/>
      <c r="G168" s="152" t="n"/>
      <c r="H168" s="152" t="n"/>
      <c r="I168" s="152">
        <f>IF(AND(G168&lt;&gt;"",H168&lt;&gt;""),G168-H168,"")</f>
        <v/>
      </c>
      <c r="J168" s="150" t="n"/>
      <c r="K168" s="150" t="n"/>
      <c r="L168" s="150" t="n"/>
      <c r="M168" s="150" t="n"/>
    </row>
    <row r="169">
      <c r="A169" s="153">
        <f>IF(B169&lt;&gt;"",ROW()-3,"")</f>
        <v/>
      </c>
      <c r="B169" s="153" t="n"/>
      <c r="C169" s="154" t="n"/>
      <c r="D169" s="154" t="n"/>
      <c r="E169" s="153" t="n"/>
      <c r="F169" s="153" t="n"/>
      <c r="G169" s="155" t="n"/>
      <c r="H169" s="155" t="n"/>
      <c r="I169" s="155">
        <f>IF(AND(G169&lt;&gt;"",H169&lt;&gt;""),G169-H169,"")</f>
        <v/>
      </c>
      <c r="J169" s="153" t="n"/>
      <c r="K169" s="153" t="n"/>
      <c r="L169" s="153" t="n"/>
      <c r="M169" s="153" t="n"/>
    </row>
    <row r="170">
      <c r="A170" s="150">
        <f>IF(B170&lt;&gt;"",ROW()-3,"")</f>
        <v/>
      </c>
      <c r="B170" s="150" t="n"/>
      <c r="C170" s="151" t="n"/>
      <c r="D170" s="151" t="n"/>
      <c r="E170" s="150" t="n"/>
      <c r="F170" s="150" t="n"/>
      <c r="G170" s="152" t="n"/>
      <c r="H170" s="152" t="n"/>
      <c r="I170" s="152">
        <f>IF(AND(G170&lt;&gt;"",H170&lt;&gt;""),G170-H170,"")</f>
        <v/>
      </c>
      <c r="J170" s="150" t="n"/>
      <c r="K170" s="150" t="n"/>
      <c r="L170" s="150" t="n"/>
      <c r="M170" s="150" t="n"/>
    </row>
    <row r="171">
      <c r="A171" s="153">
        <f>IF(B171&lt;&gt;"",ROW()-3,"")</f>
        <v/>
      </c>
      <c r="B171" s="153" t="n"/>
      <c r="C171" s="154" t="n"/>
      <c r="D171" s="154" t="n"/>
      <c r="E171" s="153" t="n"/>
      <c r="F171" s="153" t="n"/>
      <c r="G171" s="155" t="n"/>
      <c r="H171" s="155" t="n"/>
      <c r="I171" s="155">
        <f>IF(AND(G171&lt;&gt;"",H171&lt;&gt;""),G171-H171,"")</f>
        <v/>
      </c>
      <c r="J171" s="153" t="n"/>
      <c r="K171" s="153" t="n"/>
      <c r="L171" s="153" t="n"/>
      <c r="M171" s="153" t="n"/>
    </row>
    <row r="172">
      <c r="A172" s="150">
        <f>IF(B172&lt;&gt;"",ROW()-3,"")</f>
        <v/>
      </c>
      <c r="B172" s="150" t="n"/>
      <c r="C172" s="151" t="n"/>
      <c r="D172" s="151" t="n"/>
      <c r="E172" s="150" t="n"/>
      <c r="F172" s="150" t="n"/>
      <c r="G172" s="152" t="n"/>
      <c r="H172" s="152" t="n"/>
      <c r="I172" s="152">
        <f>IF(AND(G172&lt;&gt;"",H172&lt;&gt;""),G172-H172,"")</f>
        <v/>
      </c>
      <c r="J172" s="150" t="n"/>
      <c r="K172" s="150" t="n"/>
      <c r="L172" s="150" t="n"/>
      <c r="M172" s="150" t="n"/>
    </row>
    <row r="173">
      <c r="A173" s="153">
        <f>IF(B173&lt;&gt;"",ROW()-3,"")</f>
        <v/>
      </c>
      <c r="B173" s="153" t="n"/>
      <c r="C173" s="154" t="n"/>
      <c r="D173" s="154" t="n"/>
      <c r="E173" s="153" t="n"/>
      <c r="F173" s="153" t="n"/>
      <c r="G173" s="155" t="n"/>
      <c r="H173" s="155" t="n"/>
      <c r="I173" s="155">
        <f>IF(AND(G173&lt;&gt;"",H173&lt;&gt;""),G173-H173,"")</f>
        <v/>
      </c>
      <c r="J173" s="153" t="n"/>
      <c r="K173" s="153" t="n"/>
      <c r="L173" s="153" t="n"/>
      <c r="M173" s="153" t="n"/>
    </row>
    <row r="174">
      <c r="A174" s="150">
        <f>IF(B174&lt;&gt;"",ROW()-3,"")</f>
        <v/>
      </c>
      <c r="B174" s="150" t="n"/>
      <c r="C174" s="151" t="n"/>
      <c r="D174" s="151" t="n"/>
      <c r="E174" s="150" t="n"/>
      <c r="F174" s="150" t="n"/>
      <c r="G174" s="152" t="n"/>
      <c r="H174" s="152" t="n"/>
      <c r="I174" s="152">
        <f>IF(AND(G174&lt;&gt;"",H174&lt;&gt;""),G174-H174,"")</f>
        <v/>
      </c>
      <c r="J174" s="150" t="n"/>
      <c r="K174" s="150" t="n"/>
      <c r="L174" s="150" t="n"/>
      <c r="M174" s="150" t="n"/>
    </row>
    <row r="175">
      <c r="A175" s="153">
        <f>IF(B175&lt;&gt;"",ROW()-3,"")</f>
        <v/>
      </c>
      <c r="B175" s="153" t="n"/>
      <c r="C175" s="154" t="n"/>
      <c r="D175" s="154" t="n"/>
      <c r="E175" s="153" t="n"/>
      <c r="F175" s="153" t="n"/>
      <c r="G175" s="155" t="n"/>
      <c r="H175" s="155" t="n"/>
      <c r="I175" s="155">
        <f>IF(AND(G175&lt;&gt;"",H175&lt;&gt;""),G175-H175,"")</f>
        <v/>
      </c>
      <c r="J175" s="153" t="n"/>
      <c r="K175" s="153" t="n"/>
      <c r="L175" s="153" t="n"/>
      <c r="M175" s="153" t="n"/>
    </row>
    <row r="176">
      <c r="A176" s="150">
        <f>IF(B176&lt;&gt;"",ROW()-3,"")</f>
        <v/>
      </c>
      <c r="B176" s="150" t="n"/>
      <c r="C176" s="151" t="n"/>
      <c r="D176" s="151" t="n"/>
      <c r="E176" s="150" t="n"/>
      <c r="F176" s="150" t="n"/>
      <c r="G176" s="152" t="n"/>
      <c r="H176" s="152" t="n"/>
      <c r="I176" s="152">
        <f>IF(AND(G176&lt;&gt;"",H176&lt;&gt;""),G176-H176,"")</f>
        <v/>
      </c>
      <c r="J176" s="150" t="n"/>
      <c r="K176" s="150" t="n"/>
      <c r="L176" s="150" t="n"/>
      <c r="M176" s="150" t="n"/>
    </row>
    <row r="177">
      <c r="A177" s="153">
        <f>IF(B177&lt;&gt;"",ROW()-3,"")</f>
        <v/>
      </c>
      <c r="B177" s="153" t="n"/>
      <c r="C177" s="154" t="n"/>
      <c r="D177" s="154" t="n"/>
      <c r="E177" s="153" t="n"/>
      <c r="F177" s="153" t="n"/>
      <c r="G177" s="155" t="n"/>
      <c r="H177" s="155" t="n"/>
      <c r="I177" s="155">
        <f>IF(AND(G177&lt;&gt;"",H177&lt;&gt;""),G177-H177,"")</f>
        <v/>
      </c>
      <c r="J177" s="153" t="n"/>
      <c r="K177" s="153" t="n"/>
      <c r="L177" s="153" t="n"/>
      <c r="M177" s="153" t="n"/>
    </row>
    <row r="178">
      <c r="A178" s="150">
        <f>IF(B178&lt;&gt;"",ROW()-3,"")</f>
        <v/>
      </c>
      <c r="B178" s="150" t="n"/>
      <c r="C178" s="151" t="n"/>
      <c r="D178" s="151" t="n"/>
      <c r="E178" s="150" t="n"/>
      <c r="F178" s="150" t="n"/>
      <c r="G178" s="152" t="n"/>
      <c r="H178" s="152" t="n"/>
      <c r="I178" s="152">
        <f>IF(AND(G178&lt;&gt;"",H178&lt;&gt;""),G178-H178,"")</f>
        <v/>
      </c>
      <c r="J178" s="150" t="n"/>
      <c r="K178" s="150" t="n"/>
      <c r="L178" s="150" t="n"/>
      <c r="M178" s="150" t="n"/>
    </row>
    <row r="179">
      <c r="A179" s="153">
        <f>IF(B179&lt;&gt;"",ROW()-3,"")</f>
        <v/>
      </c>
      <c r="B179" s="153" t="n"/>
      <c r="C179" s="154" t="n"/>
      <c r="D179" s="154" t="n"/>
      <c r="E179" s="153" t="n"/>
      <c r="F179" s="153" t="n"/>
      <c r="G179" s="155" t="n"/>
      <c r="H179" s="155" t="n"/>
      <c r="I179" s="155">
        <f>IF(AND(G179&lt;&gt;"",H179&lt;&gt;""),G179-H179,"")</f>
        <v/>
      </c>
      <c r="J179" s="153" t="n"/>
      <c r="K179" s="153" t="n"/>
      <c r="L179" s="153" t="n"/>
      <c r="M179" s="153" t="n"/>
    </row>
    <row r="180">
      <c r="A180" s="150">
        <f>IF(B180&lt;&gt;"",ROW()-3,"")</f>
        <v/>
      </c>
      <c r="B180" s="150" t="n"/>
      <c r="C180" s="151" t="n"/>
      <c r="D180" s="151" t="n"/>
      <c r="E180" s="150" t="n"/>
      <c r="F180" s="150" t="n"/>
      <c r="G180" s="152" t="n"/>
      <c r="H180" s="152" t="n"/>
      <c r="I180" s="152">
        <f>IF(AND(G180&lt;&gt;"",H180&lt;&gt;""),G180-H180,"")</f>
        <v/>
      </c>
      <c r="J180" s="150" t="n"/>
      <c r="K180" s="150" t="n"/>
      <c r="L180" s="150" t="n"/>
      <c r="M180" s="150" t="n"/>
    </row>
    <row r="181">
      <c r="A181" s="153">
        <f>IF(B181&lt;&gt;"",ROW()-3,"")</f>
        <v/>
      </c>
      <c r="B181" s="153" t="n"/>
      <c r="C181" s="154" t="n"/>
      <c r="D181" s="154" t="n"/>
      <c r="E181" s="153" t="n"/>
      <c r="F181" s="153" t="n"/>
      <c r="G181" s="155" t="n"/>
      <c r="H181" s="155" t="n"/>
      <c r="I181" s="155">
        <f>IF(AND(G181&lt;&gt;"",H181&lt;&gt;""),G181-H181,"")</f>
        <v/>
      </c>
      <c r="J181" s="153" t="n"/>
      <c r="K181" s="153" t="n"/>
      <c r="L181" s="153" t="n"/>
      <c r="M181" s="153" t="n"/>
    </row>
    <row r="182">
      <c r="A182" s="150">
        <f>IF(B182&lt;&gt;"",ROW()-3,"")</f>
        <v/>
      </c>
      <c r="B182" s="150" t="n"/>
      <c r="C182" s="151" t="n"/>
      <c r="D182" s="151" t="n"/>
      <c r="E182" s="150" t="n"/>
      <c r="F182" s="150" t="n"/>
      <c r="G182" s="152" t="n"/>
      <c r="H182" s="152" t="n"/>
      <c r="I182" s="152">
        <f>IF(AND(G182&lt;&gt;"",H182&lt;&gt;""),G182-H182,"")</f>
        <v/>
      </c>
      <c r="J182" s="150" t="n"/>
      <c r="K182" s="150" t="n"/>
      <c r="L182" s="150" t="n"/>
      <c r="M182" s="150" t="n"/>
    </row>
    <row r="183">
      <c r="A183" s="153">
        <f>IF(B183&lt;&gt;"",ROW()-3,"")</f>
        <v/>
      </c>
      <c r="B183" s="153" t="n"/>
      <c r="C183" s="154" t="n"/>
      <c r="D183" s="154" t="n"/>
      <c r="E183" s="153" t="n"/>
      <c r="F183" s="153" t="n"/>
      <c r="G183" s="155" t="n"/>
      <c r="H183" s="155" t="n"/>
      <c r="I183" s="155">
        <f>IF(AND(G183&lt;&gt;"",H183&lt;&gt;""),G183-H183,"")</f>
        <v/>
      </c>
      <c r="J183" s="153" t="n"/>
      <c r="K183" s="153" t="n"/>
      <c r="L183" s="153" t="n"/>
      <c r="M183" s="153" t="n"/>
    </row>
    <row r="184">
      <c r="A184" s="150">
        <f>IF(B184&lt;&gt;"",ROW()-3,"")</f>
        <v/>
      </c>
      <c r="B184" s="150" t="n"/>
      <c r="C184" s="151" t="n"/>
      <c r="D184" s="151" t="n"/>
      <c r="E184" s="150" t="n"/>
      <c r="F184" s="150" t="n"/>
      <c r="G184" s="152" t="n"/>
      <c r="H184" s="152" t="n"/>
      <c r="I184" s="152">
        <f>IF(AND(G184&lt;&gt;"",H184&lt;&gt;""),G184-H184,"")</f>
        <v/>
      </c>
      <c r="J184" s="150" t="n"/>
      <c r="K184" s="150" t="n"/>
      <c r="L184" s="150" t="n"/>
      <c r="M184" s="150" t="n"/>
    </row>
    <row r="185">
      <c r="A185" s="153">
        <f>IF(B185&lt;&gt;"",ROW()-3,"")</f>
        <v/>
      </c>
      <c r="B185" s="153" t="n"/>
      <c r="C185" s="154" t="n"/>
      <c r="D185" s="154" t="n"/>
      <c r="E185" s="153" t="n"/>
      <c r="F185" s="153" t="n"/>
      <c r="G185" s="155" t="n"/>
      <c r="H185" s="155" t="n"/>
      <c r="I185" s="155">
        <f>IF(AND(G185&lt;&gt;"",H185&lt;&gt;""),G185-H185,"")</f>
        <v/>
      </c>
      <c r="J185" s="153" t="n"/>
      <c r="K185" s="153" t="n"/>
      <c r="L185" s="153" t="n"/>
      <c r="M185" s="153" t="n"/>
    </row>
    <row r="186">
      <c r="A186" s="150">
        <f>IF(B186&lt;&gt;"",ROW()-3,"")</f>
        <v/>
      </c>
      <c r="B186" s="150" t="n"/>
      <c r="C186" s="151" t="n"/>
      <c r="D186" s="151" t="n"/>
      <c r="E186" s="150" t="n"/>
      <c r="F186" s="150" t="n"/>
      <c r="G186" s="152" t="n"/>
      <c r="H186" s="152" t="n"/>
      <c r="I186" s="152">
        <f>IF(AND(G186&lt;&gt;"",H186&lt;&gt;""),G186-H186,"")</f>
        <v/>
      </c>
      <c r="J186" s="150" t="n"/>
      <c r="K186" s="150" t="n"/>
      <c r="L186" s="150" t="n"/>
      <c r="M186" s="150" t="n"/>
    </row>
    <row r="187">
      <c r="A187" s="153">
        <f>IF(B187&lt;&gt;"",ROW()-3,"")</f>
        <v/>
      </c>
      <c r="B187" s="153" t="n"/>
      <c r="C187" s="154" t="n"/>
      <c r="D187" s="154" t="n"/>
      <c r="E187" s="153" t="n"/>
      <c r="F187" s="153" t="n"/>
      <c r="G187" s="155" t="n"/>
      <c r="H187" s="155" t="n"/>
      <c r="I187" s="155">
        <f>IF(AND(G187&lt;&gt;"",H187&lt;&gt;""),G187-H187,"")</f>
        <v/>
      </c>
      <c r="J187" s="153" t="n"/>
      <c r="K187" s="153" t="n"/>
      <c r="L187" s="153" t="n"/>
      <c r="M187" s="153" t="n"/>
    </row>
    <row r="188">
      <c r="A188" s="150">
        <f>IF(B188&lt;&gt;"",ROW()-3,"")</f>
        <v/>
      </c>
      <c r="B188" s="150" t="n"/>
      <c r="C188" s="151" t="n"/>
      <c r="D188" s="151" t="n"/>
      <c r="E188" s="150" t="n"/>
      <c r="F188" s="150" t="n"/>
      <c r="G188" s="152" t="n"/>
      <c r="H188" s="152" t="n"/>
      <c r="I188" s="152">
        <f>IF(AND(G188&lt;&gt;"",H188&lt;&gt;""),G188-H188,"")</f>
        <v/>
      </c>
      <c r="J188" s="150" t="n"/>
      <c r="K188" s="150" t="n"/>
      <c r="L188" s="150" t="n"/>
      <c r="M188" s="150" t="n"/>
    </row>
    <row r="189">
      <c r="A189" s="153">
        <f>IF(B189&lt;&gt;"",ROW()-3,"")</f>
        <v/>
      </c>
      <c r="B189" s="153" t="n"/>
      <c r="C189" s="154" t="n"/>
      <c r="D189" s="154" t="n"/>
      <c r="E189" s="153" t="n"/>
      <c r="F189" s="153" t="n"/>
      <c r="G189" s="155" t="n"/>
      <c r="H189" s="155" t="n"/>
      <c r="I189" s="155">
        <f>IF(AND(G189&lt;&gt;"",H189&lt;&gt;""),G189-H189,"")</f>
        <v/>
      </c>
      <c r="J189" s="153" t="n"/>
      <c r="K189" s="153" t="n"/>
      <c r="L189" s="153" t="n"/>
      <c r="M189" s="153" t="n"/>
    </row>
    <row r="190">
      <c r="A190" s="150">
        <f>IF(B190&lt;&gt;"",ROW()-3,"")</f>
        <v/>
      </c>
      <c r="B190" s="150" t="n"/>
      <c r="C190" s="151" t="n"/>
      <c r="D190" s="151" t="n"/>
      <c r="E190" s="150" t="n"/>
      <c r="F190" s="150" t="n"/>
      <c r="G190" s="152" t="n"/>
      <c r="H190" s="152" t="n"/>
      <c r="I190" s="152">
        <f>IF(AND(G190&lt;&gt;"",H190&lt;&gt;""),G190-H190,"")</f>
        <v/>
      </c>
      <c r="J190" s="150" t="n"/>
      <c r="K190" s="150" t="n"/>
      <c r="L190" s="150" t="n"/>
      <c r="M190" s="150" t="n"/>
    </row>
    <row r="191">
      <c r="A191" s="153">
        <f>IF(B191&lt;&gt;"",ROW()-3,"")</f>
        <v/>
      </c>
      <c r="B191" s="153" t="n"/>
      <c r="C191" s="154" t="n"/>
      <c r="D191" s="154" t="n"/>
      <c r="E191" s="153" t="n"/>
      <c r="F191" s="153" t="n"/>
      <c r="G191" s="155" t="n"/>
      <c r="H191" s="155" t="n"/>
      <c r="I191" s="155">
        <f>IF(AND(G191&lt;&gt;"",H191&lt;&gt;""),G191-H191,"")</f>
        <v/>
      </c>
      <c r="J191" s="153" t="n"/>
      <c r="K191" s="153" t="n"/>
      <c r="L191" s="153" t="n"/>
      <c r="M191" s="153" t="n"/>
    </row>
    <row r="192">
      <c r="A192" s="150">
        <f>IF(B192&lt;&gt;"",ROW()-3,"")</f>
        <v/>
      </c>
      <c r="B192" s="150" t="n"/>
      <c r="C192" s="151" t="n"/>
      <c r="D192" s="151" t="n"/>
      <c r="E192" s="150" t="n"/>
      <c r="F192" s="150" t="n"/>
      <c r="G192" s="152" t="n"/>
      <c r="H192" s="152" t="n"/>
      <c r="I192" s="152">
        <f>IF(AND(G192&lt;&gt;"",H192&lt;&gt;""),G192-H192,"")</f>
        <v/>
      </c>
      <c r="J192" s="150" t="n"/>
      <c r="K192" s="150" t="n"/>
      <c r="L192" s="150" t="n"/>
      <c r="M192" s="150" t="n"/>
    </row>
    <row r="193">
      <c r="A193" s="153">
        <f>IF(B193&lt;&gt;"",ROW()-3,"")</f>
        <v/>
      </c>
      <c r="B193" s="153" t="n"/>
      <c r="C193" s="154" t="n"/>
      <c r="D193" s="154" t="n"/>
      <c r="E193" s="153" t="n"/>
      <c r="F193" s="153" t="n"/>
      <c r="G193" s="155" t="n"/>
      <c r="H193" s="155" t="n"/>
      <c r="I193" s="155">
        <f>IF(AND(G193&lt;&gt;"",H193&lt;&gt;""),G193-H193,"")</f>
        <v/>
      </c>
      <c r="J193" s="153" t="n"/>
      <c r="K193" s="153" t="n"/>
      <c r="L193" s="153" t="n"/>
      <c r="M193" s="153" t="n"/>
    </row>
    <row r="194">
      <c r="A194" s="150">
        <f>IF(B194&lt;&gt;"",ROW()-3,"")</f>
        <v/>
      </c>
      <c r="B194" s="150" t="n"/>
      <c r="C194" s="151" t="n"/>
      <c r="D194" s="151" t="n"/>
      <c r="E194" s="150" t="n"/>
      <c r="F194" s="150" t="n"/>
      <c r="G194" s="152" t="n"/>
      <c r="H194" s="152" t="n"/>
      <c r="I194" s="152">
        <f>IF(AND(G194&lt;&gt;"",H194&lt;&gt;""),G194-H194,"")</f>
        <v/>
      </c>
      <c r="J194" s="150" t="n"/>
      <c r="K194" s="150" t="n"/>
      <c r="L194" s="150" t="n"/>
      <c r="M194" s="150" t="n"/>
    </row>
    <row r="195">
      <c r="A195" s="153">
        <f>IF(B195&lt;&gt;"",ROW()-3,"")</f>
        <v/>
      </c>
      <c r="B195" s="153" t="n"/>
      <c r="C195" s="154" t="n"/>
      <c r="D195" s="154" t="n"/>
      <c r="E195" s="153" t="n"/>
      <c r="F195" s="153" t="n"/>
      <c r="G195" s="155" t="n"/>
      <c r="H195" s="155" t="n"/>
      <c r="I195" s="155">
        <f>IF(AND(G195&lt;&gt;"",H195&lt;&gt;""),G195-H195,"")</f>
        <v/>
      </c>
      <c r="J195" s="153" t="n"/>
      <c r="K195" s="153" t="n"/>
      <c r="L195" s="153" t="n"/>
      <c r="M195" s="153" t="n"/>
    </row>
    <row r="196">
      <c r="A196" s="150">
        <f>IF(B196&lt;&gt;"",ROW()-3,"")</f>
        <v/>
      </c>
      <c r="B196" s="150" t="n"/>
      <c r="C196" s="151" t="n"/>
      <c r="D196" s="151" t="n"/>
      <c r="E196" s="150" t="n"/>
      <c r="F196" s="150" t="n"/>
      <c r="G196" s="152" t="n"/>
      <c r="H196" s="152" t="n"/>
      <c r="I196" s="152">
        <f>IF(AND(G196&lt;&gt;"",H196&lt;&gt;""),G196-H196,"")</f>
        <v/>
      </c>
      <c r="J196" s="150" t="n"/>
      <c r="K196" s="150" t="n"/>
      <c r="L196" s="150" t="n"/>
      <c r="M196" s="150" t="n"/>
    </row>
    <row r="197">
      <c r="A197" s="153">
        <f>IF(B197&lt;&gt;"",ROW()-3,"")</f>
        <v/>
      </c>
      <c r="B197" s="153" t="n"/>
      <c r="C197" s="154" t="n"/>
      <c r="D197" s="154" t="n"/>
      <c r="E197" s="153" t="n"/>
      <c r="F197" s="153" t="n"/>
      <c r="G197" s="155" t="n"/>
      <c r="H197" s="155" t="n"/>
      <c r="I197" s="155">
        <f>IF(AND(G197&lt;&gt;"",H197&lt;&gt;""),G197-H197,"")</f>
        <v/>
      </c>
      <c r="J197" s="153" t="n"/>
      <c r="K197" s="153" t="n"/>
      <c r="L197" s="153" t="n"/>
      <c r="M197" s="153" t="n"/>
    </row>
    <row r="198">
      <c r="A198" s="150">
        <f>IF(B198&lt;&gt;"",ROW()-3,"")</f>
        <v/>
      </c>
      <c r="B198" s="150" t="n"/>
      <c r="C198" s="151" t="n"/>
      <c r="D198" s="151" t="n"/>
      <c r="E198" s="150" t="n"/>
      <c r="F198" s="150" t="n"/>
      <c r="G198" s="152" t="n"/>
      <c r="H198" s="152" t="n"/>
      <c r="I198" s="152">
        <f>IF(AND(G198&lt;&gt;"",H198&lt;&gt;""),G198-H198,"")</f>
        <v/>
      </c>
      <c r="J198" s="150" t="n"/>
      <c r="K198" s="150" t="n"/>
      <c r="L198" s="150" t="n"/>
      <c r="M198" s="150" t="n"/>
    </row>
    <row r="199">
      <c r="A199" s="153">
        <f>IF(B199&lt;&gt;"",ROW()-3,"")</f>
        <v/>
      </c>
      <c r="B199" s="153" t="n"/>
      <c r="C199" s="154" t="n"/>
      <c r="D199" s="154" t="n"/>
      <c r="E199" s="153" t="n"/>
      <c r="F199" s="153" t="n"/>
      <c r="G199" s="155" t="n"/>
      <c r="H199" s="155" t="n"/>
      <c r="I199" s="155">
        <f>IF(AND(G199&lt;&gt;"",H199&lt;&gt;""),G199-H199,"")</f>
        <v/>
      </c>
      <c r="J199" s="153" t="n"/>
      <c r="K199" s="153" t="n"/>
      <c r="L199" s="153" t="n"/>
      <c r="M199" s="153" t="n"/>
    </row>
    <row r="200">
      <c r="A200" s="150">
        <f>IF(B200&lt;&gt;"",ROW()-3,"")</f>
        <v/>
      </c>
      <c r="B200" s="150" t="n"/>
      <c r="C200" s="151" t="n"/>
      <c r="D200" s="151" t="n"/>
      <c r="E200" s="150" t="n"/>
      <c r="F200" s="150" t="n"/>
      <c r="G200" s="152" t="n"/>
      <c r="H200" s="152" t="n"/>
      <c r="I200" s="152">
        <f>IF(AND(G200&lt;&gt;"",H200&lt;&gt;""),G200-H200,"")</f>
        <v/>
      </c>
      <c r="J200" s="150" t="n"/>
      <c r="K200" s="150" t="n"/>
      <c r="L200" s="150" t="n"/>
      <c r="M200" s="150" t="n"/>
    </row>
    <row r="201">
      <c r="A201" s="153">
        <f>IF(B201&lt;&gt;"",ROW()-3,"")</f>
        <v/>
      </c>
      <c r="B201" s="153" t="n"/>
      <c r="C201" s="154" t="n"/>
      <c r="D201" s="154" t="n"/>
      <c r="E201" s="153" t="n"/>
      <c r="F201" s="153" t="n"/>
      <c r="G201" s="155" t="n"/>
      <c r="H201" s="155" t="n"/>
      <c r="I201" s="155">
        <f>IF(AND(G201&lt;&gt;"",H201&lt;&gt;""),G201-H201,"")</f>
        <v/>
      </c>
      <c r="J201" s="153" t="n"/>
      <c r="K201" s="153" t="n"/>
      <c r="L201" s="153" t="n"/>
      <c r="M201" s="153" t="n"/>
    </row>
    <row r="202">
      <c r="A202" s="150">
        <f>IF(B202&lt;&gt;"",ROW()-3,"")</f>
        <v/>
      </c>
      <c r="B202" s="150" t="n"/>
      <c r="C202" s="151" t="n"/>
      <c r="D202" s="151" t="n"/>
      <c r="E202" s="150" t="n"/>
      <c r="F202" s="150" t="n"/>
      <c r="G202" s="152" t="n"/>
      <c r="H202" s="152" t="n"/>
      <c r="I202" s="152">
        <f>IF(AND(G202&lt;&gt;"",H202&lt;&gt;""),G202-H202,"")</f>
        <v/>
      </c>
      <c r="J202" s="150" t="n"/>
      <c r="K202" s="150" t="n"/>
      <c r="L202" s="150" t="n"/>
      <c r="M202" s="150" t="n"/>
    </row>
    <row r="203">
      <c r="A203" s="153">
        <f>IF(B203&lt;&gt;"",ROW()-3,"")</f>
        <v/>
      </c>
      <c r="B203" s="153" t="n"/>
      <c r="C203" s="154" t="n"/>
      <c r="D203" s="154" t="n"/>
      <c r="E203" s="153" t="n"/>
      <c r="F203" s="153" t="n"/>
      <c r="G203" s="155" t="n"/>
      <c r="H203" s="155" t="n"/>
      <c r="I203" s="155">
        <f>IF(AND(G203&lt;&gt;"",H203&lt;&gt;""),G203-H203,"")</f>
        <v/>
      </c>
      <c r="J203" s="153" t="n"/>
      <c r="K203" s="153" t="n"/>
      <c r="L203" s="153" t="n"/>
      <c r="M203" s="153" t="n"/>
    </row>
    <row r="204">
      <c r="A204" s="150">
        <f>IF(B204&lt;&gt;"",ROW()-3,"")</f>
        <v/>
      </c>
      <c r="B204" s="150" t="n"/>
      <c r="C204" s="151" t="n"/>
      <c r="D204" s="151" t="n"/>
      <c r="E204" s="150" t="n"/>
      <c r="F204" s="150" t="n"/>
      <c r="G204" s="152" t="n"/>
      <c r="H204" s="152" t="n"/>
      <c r="I204" s="152">
        <f>IF(AND(G204&lt;&gt;"",H204&lt;&gt;""),G204-H204,"")</f>
        <v/>
      </c>
      <c r="J204" s="150" t="n"/>
      <c r="K204" s="150" t="n"/>
      <c r="L204" s="150" t="n"/>
      <c r="M204" s="150" t="n"/>
    </row>
    <row r="205">
      <c r="A205" s="153">
        <f>IF(B205&lt;&gt;"",ROW()-3,"")</f>
        <v/>
      </c>
      <c r="B205" s="153" t="n"/>
      <c r="C205" s="154" t="n"/>
      <c r="D205" s="154" t="n"/>
      <c r="E205" s="153" t="n"/>
      <c r="F205" s="153" t="n"/>
      <c r="G205" s="155" t="n"/>
      <c r="H205" s="155" t="n"/>
      <c r="I205" s="155">
        <f>IF(AND(G205&lt;&gt;"",H205&lt;&gt;""),G205-H205,"")</f>
        <v/>
      </c>
      <c r="J205" s="153" t="n"/>
      <c r="K205" s="153" t="n"/>
      <c r="L205" s="153" t="n"/>
      <c r="M205" s="153" t="n"/>
    </row>
    <row r="206">
      <c r="A206" s="150">
        <f>IF(B206&lt;&gt;"",ROW()-3,"")</f>
        <v/>
      </c>
      <c r="B206" s="150" t="n"/>
      <c r="C206" s="151" t="n"/>
      <c r="D206" s="151" t="n"/>
      <c r="E206" s="150" t="n"/>
      <c r="F206" s="150" t="n"/>
      <c r="G206" s="152" t="n"/>
      <c r="H206" s="152" t="n"/>
      <c r="I206" s="152">
        <f>IF(AND(G206&lt;&gt;"",H206&lt;&gt;""),G206-H206,"")</f>
        <v/>
      </c>
      <c r="J206" s="150" t="n"/>
      <c r="K206" s="150" t="n"/>
      <c r="L206" s="150" t="n"/>
      <c r="M206" s="150" t="n"/>
    </row>
    <row r="207">
      <c r="A207" s="153">
        <f>IF(B207&lt;&gt;"",ROW()-3,"")</f>
        <v/>
      </c>
      <c r="B207" s="153" t="n"/>
      <c r="C207" s="154" t="n"/>
      <c r="D207" s="154" t="n"/>
      <c r="E207" s="153" t="n"/>
      <c r="F207" s="153" t="n"/>
      <c r="G207" s="155" t="n"/>
      <c r="H207" s="155" t="n"/>
      <c r="I207" s="155">
        <f>IF(AND(G207&lt;&gt;"",H207&lt;&gt;""),G207-H207,"")</f>
        <v/>
      </c>
      <c r="J207" s="153" t="n"/>
      <c r="K207" s="153" t="n"/>
      <c r="L207" s="153" t="n"/>
      <c r="M207" s="153" t="n"/>
    </row>
    <row r="208">
      <c r="A208" s="150">
        <f>IF(B208&lt;&gt;"",ROW()-3,"")</f>
        <v/>
      </c>
      <c r="B208" s="150" t="n"/>
      <c r="C208" s="151" t="n"/>
      <c r="D208" s="151" t="n"/>
      <c r="E208" s="150" t="n"/>
      <c r="F208" s="150" t="n"/>
      <c r="G208" s="152" t="n"/>
      <c r="H208" s="152" t="n"/>
      <c r="I208" s="152">
        <f>IF(AND(G208&lt;&gt;"",H208&lt;&gt;""),G208-H208,"")</f>
        <v/>
      </c>
      <c r="J208" s="150" t="n"/>
      <c r="K208" s="150" t="n"/>
      <c r="L208" s="150" t="n"/>
      <c r="M208" s="150" t="n"/>
    </row>
    <row r="209">
      <c r="A209" s="153">
        <f>IF(B209&lt;&gt;"",ROW()-3,"")</f>
        <v/>
      </c>
      <c r="B209" s="153" t="n"/>
      <c r="C209" s="154" t="n"/>
      <c r="D209" s="154" t="n"/>
      <c r="E209" s="153" t="n"/>
      <c r="F209" s="153" t="n"/>
      <c r="G209" s="155" t="n"/>
      <c r="H209" s="155" t="n"/>
      <c r="I209" s="155">
        <f>IF(AND(G209&lt;&gt;"",H209&lt;&gt;""),G209-H209,"")</f>
        <v/>
      </c>
      <c r="J209" s="153" t="n"/>
      <c r="K209" s="153" t="n"/>
      <c r="L209" s="153" t="n"/>
      <c r="M209" s="153" t="n"/>
    </row>
    <row r="210">
      <c r="A210" s="150">
        <f>IF(B210&lt;&gt;"",ROW()-3,"")</f>
        <v/>
      </c>
      <c r="B210" s="150" t="n"/>
      <c r="C210" s="151" t="n"/>
      <c r="D210" s="151" t="n"/>
      <c r="E210" s="150" t="n"/>
      <c r="F210" s="150" t="n"/>
      <c r="G210" s="152" t="n"/>
      <c r="H210" s="152" t="n"/>
      <c r="I210" s="152">
        <f>IF(AND(G210&lt;&gt;"",H210&lt;&gt;""),G210-H210,"")</f>
        <v/>
      </c>
      <c r="J210" s="150" t="n"/>
      <c r="K210" s="150" t="n"/>
      <c r="L210" s="150" t="n"/>
      <c r="M210" s="150" t="n"/>
    </row>
    <row r="211">
      <c r="A211" s="153">
        <f>IF(B211&lt;&gt;"",ROW()-3,"")</f>
        <v/>
      </c>
      <c r="B211" s="153" t="n"/>
      <c r="C211" s="154" t="n"/>
      <c r="D211" s="154" t="n"/>
      <c r="E211" s="153" t="n"/>
      <c r="F211" s="153" t="n"/>
      <c r="G211" s="155" t="n"/>
      <c r="H211" s="155" t="n"/>
      <c r="I211" s="155">
        <f>IF(AND(G211&lt;&gt;"",H211&lt;&gt;""),G211-H211,"")</f>
        <v/>
      </c>
      <c r="J211" s="153" t="n"/>
      <c r="K211" s="153" t="n"/>
      <c r="L211" s="153" t="n"/>
      <c r="M211" s="153" t="n"/>
    </row>
    <row r="212">
      <c r="A212" s="150">
        <f>IF(B212&lt;&gt;"",ROW()-3,"")</f>
        <v/>
      </c>
      <c r="B212" s="150" t="n"/>
      <c r="C212" s="151" t="n"/>
      <c r="D212" s="151" t="n"/>
      <c r="E212" s="150" t="n"/>
      <c r="F212" s="150" t="n"/>
      <c r="G212" s="152" t="n"/>
      <c r="H212" s="152" t="n"/>
      <c r="I212" s="152">
        <f>IF(AND(G212&lt;&gt;"",H212&lt;&gt;""),G212-H212,"")</f>
        <v/>
      </c>
      <c r="J212" s="150" t="n"/>
      <c r="K212" s="150" t="n"/>
      <c r="L212" s="150" t="n"/>
      <c r="M212" s="150" t="n"/>
    </row>
    <row r="213">
      <c r="A213" s="153">
        <f>IF(B213&lt;&gt;"",ROW()-3,"")</f>
        <v/>
      </c>
      <c r="B213" s="153" t="n"/>
      <c r="C213" s="154" t="n"/>
      <c r="D213" s="154" t="n"/>
      <c r="E213" s="153" t="n"/>
      <c r="F213" s="153" t="n"/>
      <c r="G213" s="155" t="n"/>
      <c r="H213" s="155" t="n"/>
      <c r="I213" s="155">
        <f>IF(AND(G213&lt;&gt;"",H213&lt;&gt;""),G213-H213,"")</f>
        <v/>
      </c>
      <c r="J213" s="153" t="n"/>
      <c r="K213" s="153" t="n"/>
      <c r="L213" s="153" t="n"/>
      <c r="M213" s="153" t="n"/>
    </row>
    <row r="214">
      <c r="A214" s="150">
        <f>IF(B214&lt;&gt;"",ROW()-3,"")</f>
        <v/>
      </c>
      <c r="B214" s="150" t="n"/>
      <c r="C214" s="151" t="n"/>
      <c r="D214" s="151" t="n"/>
      <c r="E214" s="150" t="n"/>
      <c r="F214" s="150" t="n"/>
      <c r="G214" s="152" t="n"/>
      <c r="H214" s="152" t="n"/>
      <c r="I214" s="152">
        <f>IF(AND(G214&lt;&gt;"",H214&lt;&gt;""),G214-H214,"")</f>
        <v/>
      </c>
      <c r="J214" s="150" t="n"/>
      <c r="K214" s="150" t="n"/>
      <c r="L214" s="150" t="n"/>
      <c r="M214" s="150" t="n"/>
    </row>
    <row r="215">
      <c r="A215" s="153">
        <f>IF(B215&lt;&gt;"",ROW()-3,"")</f>
        <v/>
      </c>
      <c r="B215" s="153" t="n"/>
      <c r="C215" s="154" t="n"/>
      <c r="D215" s="154" t="n"/>
      <c r="E215" s="153" t="n"/>
      <c r="F215" s="153" t="n"/>
      <c r="G215" s="155" t="n"/>
      <c r="H215" s="155" t="n"/>
      <c r="I215" s="155">
        <f>IF(AND(G215&lt;&gt;"",H215&lt;&gt;""),G215-H215,"")</f>
        <v/>
      </c>
      <c r="J215" s="153" t="n"/>
      <c r="K215" s="153" t="n"/>
      <c r="L215" s="153" t="n"/>
      <c r="M215" s="153" t="n"/>
    </row>
    <row r="216">
      <c r="A216" s="150">
        <f>IF(B216&lt;&gt;"",ROW()-3,"")</f>
        <v/>
      </c>
      <c r="B216" s="150" t="n"/>
      <c r="C216" s="151" t="n"/>
      <c r="D216" s="151" t="n"/>
      <c r="E216" s="150" t="n"/>
      <c r="F216" s="150" t="n"/>
      <c r="G216" s="152" t="n"/>
      <c r="H216" s="152" t="n"/>
      <c r="I216" s="152">
        <f>IF(AND(G216&lt;&gt;"",H216&lt;&gt;""),G216-H216,"")</f>
        <v/>
      </c>
      <c r="J216" s="150" t="n"/>
      <c r="K216" s="150" t="n"/>
      <c r="L216" s="150" t="n"/>
      <c r="M216" s="150" t="n"/>
    </row>
    <row r="217">
      <c r="A217" s="153">
        <f>IF(B217&lt;&gt;"",ROW()-3,"")</f>
        <v/>
      </c>
      <c r="B217" s="153" t="n"/>
      <c r="C217" s="154" t="n"/>
      <c r="D217" s="154" t="n"/>
      <c r="E217" s="153" t="n"/>
      <c r="F217" s="153" t="n"/>
      <c r="G217" s="155" t="n"/>
      <c r="H217" s="155" t="n"/>
      <c r="I217" s="155">
        <f>IF(AND(G217&lt;&gt;"",H217&lt;&gt;""),G217-H217,"")</f>
        <v/>
      </c>
      <c r="J217" s="153" t="n"/>
      <c r="K217" s="153" t="n"/>
      <c r="L217" s="153" t="n"/>
      <c r="M217" s="153" t="n"/>
    </row>
    <row r="218">
      <c r="A218" s="150">
        <f>IF(B218&lt;&gt;"",ROW()-3,"")</f>
        <v/>
      </c>
      <c r="B218" s="150" t="n"/>
      <c r="C218" s="151" t="n"/>
      <c r="D218" s="151" t="n"/>
      <c r="E218" s="150" t="n"/>
      <c r="F218" s="150" t="n"/>
      <c r="G218" s="152" t="n"/>
      <c r="H218" s="152" t="n"/>
      <c r="I218" s="152">
        <f>IF(AND(G218&lt;&gt;"",H218&lt;&gt;""),G218-H218,"")</f>
        <v/>
      </c>
      <c r="J218" s="150" t="n"/>
      <c r="K218" s="150" t="n"/>
      <c r="L218" s="150" t="n"/>
      <c r="M218" s="150" t="n"/>
    </row>
    <row r="219">
      <c r="A219" s="153">
        <f>IF(B219&lt;&gt;"",ROW()-3,"")</f>
        <v/>
      </c>
      <c r="B219" s="153" t="n"/>
      <c r="C219" s="154" t="n"/>
      <c r="D219" s="154" t="n"/>
      <c r="E219" s="153" t="n"/>
      <c r="F219" s="153" t="n"/>
      <c r="G219" s="155" t="n"/>
      <c r="H219" s="155" t="n"/>
      <c r="I219" s="155">
        <f>IF(AND(G219&lt;&gt;"",H219&lt;&gt;""),G219-H219,"")</f>
        <v/>
      </c>
      <c r="J219" s="153" t="n"/>
      <c r="K219" s="153" t="n"/>
      <c r="L219" s="153" t="n"/>
      <c r="M219" s="153" t="n"/>
    </row>
    <row r="220">
      <c r="A220" s="150">
        <f>IF(B220&lt;&gt;"",ROW()-3,"")</f>
        <v/>
      </c>
      <c r="B220" s="150" t="n"/>
      <c r="C220" s="151" t="n"/>
      <c r="D220" s="151" t="n"/>
      <c r="E220" s="150" t="n"/>
      <c r="F220" s="150" t="n"/>
      <c r="G220" s="152" t="n"/>
      <c r="H220" s="152" t="n"/>
      <c r="I220" s="152">
        <f>IF(AND(G220&lt;&gt;"",H220&lt;&gt;""),G220-H220,"")</f>
        <v/>
      </c>
      <c r="J220" s="150" t="n"/>
      <c r="K220" s="150" t="n"/>
      <c r="L220" s="150" t="n"/>
      <c r="M220" s="150" t="n"/>
    </row>
    <row r="221">
      <c r="A221" s="153">
        <f>IF(B221&lt;&gt;"",ROW()-3,"")</f>
        <v/>
      </c>
      <c r="B221" s="153" t="n"/>
      <c r="C221" s="154" t="n"/>
      <c r="D221" s="154" t="n"/>
      <c r="E221" s="153" t="n"/>
      <c r="F221" s="153" t="n"/>
      <c r="G221" s="155" t="n"/>
      <c r="H221" s="155" t="n"/>
      <c r="I221" s="155">
        <f>IF(AND(G221&lt;&gt;"",H221&lt;&gt;""),G221-H221,"")</f>
        <v/>
      </c>
      <c r="J221" s="153" t="n"/>
      <c r="K221" s="153" t="n"/>
      <c r="L221" s="153" t="n"/>
      <c r="M221" s="153" t="n"/>
    </row>
    <row r="222">
      <c r="A222" s="150">
        <f>IF(B222&lt;&gt;"",ROW()-3,"")</f>
        <v/>
      </c>
      <c r="B222" s="150" t="n"/>
      <c r="C222" s="151" t="n"/>
      <c r="D222" s="151" t="n"/>
      <c r="E222" s="150" t="n"/>
      <c r="F222" s="150" t="n"/>
      <c r="G222" s="152" t="n"/>
      <c r="H222" s="152" t="n"/>
      <c r="I222" s="152">
        <f>IF(AND(G222&lt;&gt;"",H222&lt;&gt;""),G222-H222,"")</f>
        <v/>
      </c>
      <c r="J222" s="150" t="n"/>
      <c r="K222" s="150" t="n"/>
      <c r="L222" s="150" t="n"/>
      <c r="M222" s="150" t="n"/>
    </row>
    <row r="223">
      <c r="A223" s="153">
        <f>IF(B223&lt;&gt;"",ROW()-3,"")</f>
        <v/>
      </c>
      <c r="B223" s="153" t="n"/>
      <c r="C223" s="154" t="n"/>
      <c r="D223" s="154" t="n"/>
      <c r="E223" s="153" t="n"/>
      <c r="F223" s="153" t="n"/>
      <c r="G223" s="155" t="n"/>
      <c r="H223" s="155" t="n"/>
      <c r="I223" s="155">
        <f>IF(AND(G223&lt;&gt;"",H223&lt;&gt;""),G223-H223,"")</f>
        <v/>
      </c>
      <c r="J223" s="153" t="n"/>
      <c r="K223" s="153" t="n"/>
      <c r="L223" s="153" t="n"/>
      <c r="M223" s="153" t="n"/>
    </row>
    <row r="224">
      <c r="A224" s="150">
        <f>IF(B224&lt;&gt;"",ROW()-3,"")</f>
        <v/>
      </c>
      <c r="B224" s="150" t="n"/>
      <c r="C224" s="151" t="n"/>
      <c r="D224" s="151" t="n"/>
      <c r="E224" s="150" t="n"/>
      <c r="F224" s="150" t="n"/>
      <c r="G224" s="152" t="n"/>
      <c r="H224" s="152" t="n"/>
      <c r="I224" s="152">
        <f>IF(AND(G224&lt;&gt;"",H224&lt;&gt;""),G224-H224,"")</f>
        <v/>
      </c>
      <c r="J224" s="150" t="n"/>
      <c r="K224" s="150" t="n"/>
      <c r="L224" s="150" t="n"/>
      <c r="M224" s="150" t="n"/>
    </row>
    <row r="225">
      <c r="A225" s="153">
        <f>IF(B225&lt;&gt;"",ROW()-3,"")</f>
        <v/>
      </c>
      <c r="B225" s="153" t="n"/>
      <c r="C225" s="154" t="n"/>
      <c r="D225" s="154" t="n"/>
      <c r="E225" s="153" t="n"/>
      <c r="F225" s="153" t="n"/>
      <c r="G225" s="155" t="n"/>
      <c r="H225" s="155" t="n"/>
      <c r="I225" s="155">
        <f>IF(AND(G225&lt;&gt;"",H225&lt;&gt;""),G225-H225,"")</f>
        <v/>
      </c>
      <c r="J225" s="153" t="n"/>
      <c r="K225" s="153" t="n"/>
      <c r="L225" s="153" t="n"/>
      <c r="M225" s="153" t="n"/>
    </row>
    <row r="226">
      <c r="A226" s="150">
        <f>IF(B226&lt;&gt;"",ROW()-3,"")</f>
        <v/>
      </c>
      <c r="B226" s="150" t="n"/>
      <c r="C226" s="151" t="n"/>
      <c r="D226" s="151" t="n"/>
      <c r="E226" s="150" t="n"/>
      <c r="F226" s="150" t="n"/>
      <c r="G226" s="152" t="n"/>
      <c r="H226" s="152" t="n"/>
      <c r="I226" s="152">
        <f>IF(AND(G226&lt;&gt;"",H226&lt;&gt;""),G226-H226,"")</f>
        <v/>
      </c>
      <c r="J226" s="150" t="n"/>
      <c r="K226" s="150" t="n"/>
      <c r="L226" s="150" t="n"/>
      <c r="M226" s="150" t="n"/>
    </row>
    <row r="227">
      <c r="A227" s="153">
        <f>IF(B227&lt;&gt;"",ROW()-3,"")</f>
        <v/>
      </c>
      <c r="B227" s="153" t="n"/>
      <c r="C227" s="154" t="n"/>
      <c r="D227" s="154" t="n"/>
      <c r="E227" s="153" t="n"/>
      <c r="F227" s="153" t="n"/>
      <c r="G227" s="155" t="n"/>
      <c r="H227" s="155" t="n"/>
      <c r="I227" s="155">
        <f>IF(AND(G227&lt;&gt;"",H227&lt;&gt;""),G227-H227,"")</f>
        <v/>
      </c>
      <c r="J227" s="153" t="n"/>
      <c r="K227" s="153" t="n"/>
      <c r="L227" s="153" t="n"/>
      <c r="M227" s="153" t="n"/>
    </row>
    <row r="228">
      <c r="A228" s="150">
        <f>IF(B228&lt;&gt;"",ROW()-3,"")</f>
        <v/>
      </c>
      <c r="B228" s="150" t="n"/>
      <c r="C228" s="151" t="n"/>
      <c r="D228" s="151" t="n"/>
      <c r="E228" s="150" t="n"/>
      <c r="F228" s="150" t="n"/>
      <c r="G228" s="152" t="n"/>
      <c r="H228" s="152" t="n"/>
      <c r="I228" s="152">
        <f>IF(AND(G228&lt;&gt;"",H228&lt;&gt;""),G228-H228,"")</f>
        <v/>
      </c>
      <c r="J228" s="150" t="n"/>
      <c r="K228" s="150" t="n"/>
      <c r="L228" s="150" t="n"/>
      <c r="M228" s="150" t="n"/>
    </row>
    <row r="229">
      <c r="A229" s="153">
        <f>IF(B229&lt;&gt;"",ROW()-3,"")</f>
        <v/>
      </c>
      <c r="B229" s="153" t="n"/>
      <c r="C229" s="154" t="n"/>
      <c r="D229" s="154" t="n"/>
      <c r="E229" s="153" t="n"/>
      <c r="F229" s="153" t="n"/>
      <c r="G229" s="155" t="n"/>
      <c r="H229" s="155" t="n"/>
      <c r="I229" s="155">
        <f>IF(AND(G229&lt;&gt;"",H229&lt;&gt;""),G229-H229,"")</f>
        <v/>
      </c>
      <c r="J229" s="153" t="n"/>
      <c r="K229" s="153" t="n"/>
      <c r="L229" s="153" t="n"/>
      <c r="M229" s="153" t="n"/>
    </row>
    <row r="230">
      <c r="A230" s="150">
        <f>IF(B230&lt;&gt;"",ROW()-3,"")</f>
        <v/>
      </c>
      <c r="B230" s="150" t="n"/>
      <c r="C230" s="151" t="n"/>
      <c r="D230" s="151" t="n"/>
      <c r="E230" s="150" t="n"/>
      <c r="F230" s="150" t="n"/>
      <c r="G230" s="152" t="n"/>
      <c r="H230" s="152" t="n"/>
      <c r="I230" s="152">
        <f>IF(AND(G230&lt;&gt;"",H230&lt;&gt;""),G230-H230,"")</f>
        <v/>
      </c>
      <c r="J230" s="150" t="n"/>
      <c r="K230" s="150" t="n"/>
      <c r="L230" s="150" t="n"/>
      <c r="M230" s="150" t="n"/>
    </row>
    <row r="231">
      <c r="A231" s="153">
        <f>IF(B231&lt;&gt;"",ROW()-3,"")</f>
        <v/>
      </c>
      <c r="B231" s="153" t="n"/>
      <c r="C231" s="154" t="n"/>
      <c r="D231" s="154" t="n"/>
      <c r="E231" s="153" t="n"/>
      <c r="F231" s="153" t="n"/>
      <c r="G231" s="155" t="n"/>
      <c r="H231" s="155" t="n"/>
      <c r="I231" s="155">
        <f>IF(AND(G231&lt;&gt;"",H231&lt;&gt;""),G231-H231,"")</f>
        <v/>
      </c>
      <c r="J231" s="153" t="n"/>
      <c r="K231" s="153" t="n"/>
      <c r="L231" s="153" t="n"/>
      <c r="M231" s="153" t="n"/>
    </row>
    <row r="232">
      <c r="A232" s="150">
        <f>IF(B232&lt;&gt;"",ROW()-3,"")</f>
        <v/>
      </c>
      <c r="B232" s="150" t="n"/>
      <c r="C232" s="151" t="n"/>
      <c r="D232" s="151" t="n"/>
      <c r="E232" s="150" t="n"/>
      <c r="F232" s="150" t="n"/>
      <c r="G232" s="152" t="n"/>
      <c r="H232" s="152" t="n"/>
      <c r="I232" s="152">
        <f>IF(AND(G232&lt;&gt;"",H232&lt;&gt;""),G232-H232,"")</f>
        <v/>
      </c>
      <c r="J232" s="150" t="n"/>
      <c r="K232" s="150" t="n"/>
      <c r="L232" s="150" t="n"/>
      <c r="M232" s="150" t="n"/>
    </row>
    <row r="233">
      <c r="A233" s="153">
        <f>IF(B233&lt;&gt;"",ROW()-3,"")</f>
        <v/>
      </c>
      <c r="B233" s="153" t="n"/>
      <c r="C233" s="154" t="n"/>
      <c r="D233" s="154" t="n"/>
      <c r="E233" s="153" t="n"/>
      <c r="F233" s="153" t="n"/>
      <c r="G233" s="155" t="n"/>
      <c r="H233" s="155" t="n"/>
      <c r="I233" s="155">
        <f>IF(AND(G233&lt;&gt;"",H233&lt;&gt;""),G233-H233,"")</f>
        <v/>
      </c>
      <c r="J233" s="153" t="n"/>
      <c r="K233" s="153" t="n"/>
      <c r="L233" s="153" t="n"/>
      <c r="M233" s="153" t="n"/>
    </row>
    <row r="234">
      <c r="A234" s="150">
        <f>IF(B234&lt;&gt;"",ROW()-3,"")</f>
        <v/>
      </c>
      <c r="B234" s="150" t="n"/>
      <c r="C234" s="151" t="n"/>
      <c r="D234" s="151" t="n"/>
      <c r="E234" s="150" t="n"/>
      <c r="F234" s="150" t="n"/>
      <c r="G234" s="152" t="n"/>
      <c r="H234" s="152" t="n"/>
      <c r="I234" s="152">
        <f>IF(AND(G234&lt;&gt;"",H234&lt;&gt;""),G234-H234,"")</f>
        <v/>
      </c>
      <c r="J234" s="150" t="n"/>
      <c r="K234" s="150" t="n"/>
      <c r="L234" s="150" t="n"/>
      <c r="M234" s="150" t="n"/>
    </row>
    <row r="235">
      <c r="A235" s="153">
        <f>IF(B235&lt;&gt;"",ROW()-3,"")</f>
        <v/>
      </c>
      <c r="B235" s="153" t="n"/>
      <c r="C235" s="154" t="n"/>
      <c r="D235" s="154" t="n"/>
      <c r="E235" s="153" t="n"/>
      <c r="F235" s="153" t="n"/>
      <c r="G235" s="155" t="n"/>
      <c r="H235" s="155" t="n"/>
      <c r="I235" s="155">
        <f>IF(AND(G235&lt;&gt;"",H235&lt;&gt;""),G235-H235,"")</f>
        <v/>
      </c>
      <c r="J235" s="153" t="n"/>
      <c r="K235" s="153" t="n"/>
      <c r="L235" s="153" t="n"/>
      <c r="M235" s="153" t="n"/>
    </row>
    <row r="236">
      <c r="A236" s="150">
        <f>IF(B236&lt;&gt;"",ROW()-3,"")</f>
        <v/>
      </c>
      <c r="B236" s="150" t="n"/>
      <c r="C236" s="151" t="n"/>
      <c r="D236" s="151" t="n"/>
      <c r="E236" s="150" t="n"/>
      <c r="F236" s="150" t="n"/>
      <c r="G236" s="152" t="n"/>
      <c r="H236" s="152" t="n"/>
      <c r="I236" s="152">
        <f>IF(AND(G236&lt;&gt;"",H236&lt;&gt;""),G236-H236,"")</f>
        <v/>
      </c>
      <c r="J236" s="150" t="n"/>
      <c r="K236" s="150" t="n"/>
      <c r="L236" s="150" t="n"/>
      <c r="M236" s="150" t="n"/>
    </row>
    <row r="237">
      <c r="A237" s="153">
        <f>IF(B237&lt;&gt;"",ROW()-3,"")</f>
        <v/>
      </c>
      <c r="B237" s="153" t="n"/>
      <c r="C237" s="154" t="n"/>
      <c r="D237" s="154" t="n"/>
      <c r="E237" s="153" t="n"/>
      <c r="F237" s="153" t="n"/>
      <c r="G237" s="155" t="n"/>
      <c r="H237" s="155" t="n"/>
      <c r="I237" s="155">
        <f>IF(AND(G237&lt;&gt;"",H237&lt;&gt;""),G237-H237,"")</f>
        <v/>
      </c>
      <c r="J237" s="153" t="n"/>
      <c r="K237" s="153" t="n"/>
      <c r="L237" s="153" t="n"/>
      <c r="M237" s="153" t="n"/>
    </row>
    <row r="238">
      <c r="A238" s="150">
        <f>IF(B238&lt;&gt;"",ROW()-3,"")</f>
        <v/>
      </c>
      <c r="B238" s="150" t="n"/>
      <c r="C238" s="151" t="n"/>
      <c r="D238" s="151" t="n"/>
      <c r="E238" s="150" t="n"/>
      <c r="F238" s="150" t="n"/>
      <c r="G238" s="152" t="n"/>
      <c r="H238" s="152" t="n"/>
      <c r="I238" s="152">
        <f>IF(AND(G238&lt;&gt;"",H238&lt;&gt;""),G238-H238,"")</f>
        <v/>
      </c>
      <c r="J238" s="150" t="n"/>
      <c r="K238" s="150" t="n"/>
      <c r="L238" s="150" t="n"/>
      <c r="M238" s="150" t="n"/>
    </row>
    <row r="239">
      <c r="A239" s="153">
        <f>IF(B239&lt;&gt;"",ROW()-3,"")</f>
        <v/>
      </c>
      <c r="B239" s="153" t="n"/>
      <c r="C239" s="154" t="n"/>
      <c r="D239" s="154" t="n"/>
      <c r="E239" s="153" t="n"/>
      <c r="F239" s="153" t="n"/>
      <c r="G239" s="155" t="n"/>
      <c r="H239" s="155" t="n"/>
      <c r="I239" s="155">
        <f>IF(AND(G239&lt;&gt;"",H239&lt;&gt;""),G239-H239,"")</f>
        <v/>
      </c>
      <c r="J239" s="153" t="n"/>
      <c r="K239" s="153" t="n"/>
      <c r="L239" s="153" t="n"/>
      <c r="M239" s="153" t="n"/>
    </row>
    <row r="240">
      <c r="A240" s="150">
        <f>IF(B240&lt;&gt;"",ROW()-3,"")</f>
        <v/>
      </c>
      <c r="B240" s="150" t="n"/>
      <c r="C240" s="151" t="n"/>
      <c r="D240" s="151" t="n"/>
      <c r="E240" s="150" t="n"/>
      <c r="F240" s="150" t="n"/>
      <c r="G240" s="152" t="n"/>
      <c r="H240" s="152" t="n"/>
      <c r="I240" s="152">
        <f>IF(AND(G240&lt;&gt;"",H240&lt;&gt;""),G240-H240,"")</f>
        <v/>
      </c>
      <c r="J240" s="150" t="n"/>
      <c r="K240" s="150" t="n"/>
      <c r="L240" s="150" t="n"/>
      <c r="M240" s="150" t="n"/>
    </row>
    <row r="241">
      <c r="A241" s="153">
        <f>IF(B241&lt;&gt;"",ROW()-3,"")</f>
        <v/>
      </c>
      <c r="B241" s="153" t="n"/>
      <c r="C241" s="154" t="n"/>
      <c r="D241" s="154" t="n"/>
      <c r="E241" s="153" t="n"/>
      <c r="F241" s="153" t="n"/>
      <c r="G241" s="155" t="n"/>
      <c r="H241" s="155" t="n"/>
      <c r="I241" s="155">
        <f>IF(AND(G241&lt;&gt;"",H241&lt;&gt;""),G241-H241,"")</f>
        <v/>
      </c>
      <c r="J241" s="153" t="n"/>
      <c r="K241" s="153" t="n"/>
      <c r="L241" s="153" t="n"/>
      <c r="M241" s="153" t="n"/>
    </row>
    <row r="242">
      <c r="A242" s="150">
        <f>IF(B242&lt;&gt;"",ROW()-3,"")</f>
        <v/>
      </c>
      <c r="B242" s="150" t="n"/>
      <c r="C242" s="151" t="n"/>
      <c r="D242" s="151" t="n"/>
      <c r="E242" s="150" t="n"/>
      <c r="F242" s="150" t="n"/>
      <c r="G242" s="152" t="n"/>
      <c r="H242" s="152" t="n"/>
      <c r="I242" s="152">
        <f>IF(AND(G242&lt;&gt;"",H242&lt;&gt;""),G242-H242,"")</f>
        <v/>
      </c>
      <c r="J242" s="150" t="n"/>
      <c r="K242" s="150" t="n"/>
      <c r="L242" s="150" t="n"/>
      <c r="M242" s="150" t="n"/>
    </row>
    <row r="243">
      <c r="A243" s="153">
        <f>IF(B243&lt;&gt;"",ROW()-3,"")</f>
        <v/>
      </c>
      <c r="B243" s="153" t="n"/>
      <c r="C243" s="154" t="n"/>
      <c r="D243" s="154" t="n"/>
      <c r="E243" s="153" t="n"/>
      <c r="F243" s="153" t="n"/>
      <c r="G243" s="155" t="n"/>
      <c r="H243" s="155" t="n"/>
      <c r="I243" s="155">
        <f>IF(AND(G243&lt;&gt;"",H243&lt;&gt;""),G243-H243,"")</f>
        <v/>
      </c>
      <c r="J243" s="153" t="n"/>
      <c r="K243" s="153" t="n"/>
      <c r="L243" s="153" t="n"/>
      <c r="M243" s="153" t="n"/>
    </row>
    <row r="244">
      <c r="A244" s="150">
        <f>IF(B244&lt;&gt;"",ROW()-3,"")</f>
        <v/>
      </c>
      <c r="B244" s="150" t="n"/>
      <c r="C244" s="151" t="n"/>
      <c r="D244" s="151" t="n"/>
      <c r="E244" s="150" t="n"/>
      <c r="F244" s="150" t="n"/>
      <c r="G244" s="152" t="n"/>
      <c r="H244" s="152" t="n"/>
      <c r="I244" s="152">
        <f>IF(AND(G244&lt;&gt;"",H244&lt;&gt;""),G244-H244,"")</f>
        <v/>
      </c>
      <c r="J244" s="150" t="n"/>
      <c r="K244" s="150" t="n"/>
      <c r="L244" s="150" t="n"/>
      <c r="M244" s="150" t="n"/>
    </row>
    <row r="245">
      <c r="A245" s="153">
        <f>IF(B245&lt;&gt;"",ROW()-3,"")</f>
        <v/>
      </c>
      <c r="B245" s="153" t="n"/>
      <c r="C245" s="154" t="n"/>
      <c r="D245" s="154" t="n"/>
      <c r="E245" s="153" t="n"/>
      <c r="F245" s="153" t="n"/>
      <c r="G245" s="155" t="n"/>
      <c r="H245" s="155" t="n"/>
      <c r="I245" s="155">
        <f>IF(AND(G245&lt;&gt;"",H245&lt;&gt;""),G245-H245,"")</f>
        <v/>
      </c>
      <c r="J245" s="153" t="n"/>
      <c r="K245" s="153" t="n"/>
      <c r="L245" s="153" t="n"/>
      <c r="M245" s="153" t="n"/>
    </row>
    <row r="246">
      <c r="A246" s="150">
        <f>IF(B246&lt;&gt;"",ROW()-3,"")</f>
        <v/>
      </c>
      <c r="B246" s="150" t="n"/>
      <c r="C246" s="151" t="n"/>
      <c r="D246" s="151" t="n"/>
      <c r="E246" s="150" t="n"/>
      <c r="F246" s="150" t="n"/>
      <c r="G246" s="152" t="n"/>
      <c r="H246" s="152" t="n"/>
      <c r="I246" s="152">
        <f>IF(AND(G246&lt;&gt;"",H246&lt;&gt;""),G246-H246,"")</f>
        <v/>
      </c>
      <c r="J246" s="150" t="n"/>
      <c r="K246" s="150" t="n"/>
      <c r="L246" s="150" t="n"/>
      <c r="M246" s="150" t="n"/>
    </row>
    <row r="247">
      <c r="A247" s="153">
        <f>IF(B247&lt;&gt;"",ROW()-3,"")</f>
        <v/>
      </c>
      <c r="B247" s="153" t="n"/>
      <c r="C247" s="154" t="n"/>
      <c r="D247" s="154" t="n"/>
      <c r="E247" s="153" t="n"/>
      <c r="F247" s="153" t="n"/>
      <c r="G247" s="155" t="n"/>
      <c r="H247" s="155" t="n"/>
      <c r="I247" s="155">
        <f>IF(AND(G247&lt;&gt;"",H247&lt;&gt;""),G247-H247,"")</f>
        <v/>
      </c>
      <c r="J247" s="153" t="n"/>
      <c r="K247" s="153" t="n"/>
      <c r="L247" s="153" t="n"/>
      <c r="M247" s="153" t="n"/>
    </row>
    <row r="248">
      <c r="A248" s="150">
        <f>IF(B248&lt;&gt;"",ROW()-3,"")</f>
        <v/>
      </c>
      <c r="B248" s="150" t="n"/>
      <c r="C248" s="151" t="n"/>
      <c r="D248" s="151" t="n"/>
      <c r="E248" s="150" t="n"/>
      <c r="F248" s="150" t="n"/>
      <c r="G248" s="152" t="n"/>
      <c r="H248" s="152" t="n"/>
      <c r="I248" s="152">
        <f>IF(AND(G248&lt;&gt;"",H248&lt;&gt;""),G248-H248,"")</f>
        <v/>
      </c>
      <c r="J248" s="150" t="n"/>
      <c r="K248" s="150" t="n"/>
      <c r="L248" s="150" t="n"/>
      <c r="M248" s="150" t="n"/>
    </row>
    <row r="249">
      <c r="A249" s="153">
        <f>IF(B249&lt;&gt;"",ROW()-3,"")</f>
        <v/>
      </c>
      <c r="B249" s="153" t="n"/>
      <c r="C249" s="154" t="n"/>
      <c r="D249" s="154" t="n"/>
      <c r="E249" s="153" t="n"/>
      <c r="F249" s="153" t="n"/>
      <c r="G249" s="155" t="n"/>
      <c r="H249" s="155" t="n"/>
      <c r="I249" s="155">
        <f>IF(AND(G249&lt;&gt;"",H249&lt;&gt;""),G249-H249,"")</f>
        <v/>
      </c>
      <c r="J249" s="153" t="n"/>
      <c r="K249" s="153" t="n"/>
      <c r="L249" s="153" t="n"/>
      <c r="M249" s="153" t="n"/>
    </row>
    <row r="250">
      <c r="A250" s="150">
        <f>IF(B250&lt;&gt;"",ROW()-3,"")</f>
        <v/>
      </c>
      <c r="B250" s="150" t="n"/>
      <c r="C250" s="151" t="n"/>
      <c r="D250" s="151" t="n"/>
      <c r="E250" s="150" t="n"/>
      <c r="F250" s="150" t="n"/>
      <c r="G250" s="152" t="n"/>
      <c r="H250" s="152" t="n"/>
      <c r="I250" s="152">
        <f>IF(AND(G250&lt;&gt;"",H250&lt;&gt;""),G250-H250,"")</f>
        <v/>
      </c>
      <c r="J250" s="150" t="n"/>
      <c r="K250" s="150" t="n"/>
      <c r="L250" s="150" t="n"/>
      <c r="M250" s="150" t="n"/>
    </row>
    <row r="251">
      <c r="A251" s="153">
        <f>IF(B251&lt;&gt;"",ROW()-3,"")</f>
        <v/>
      </c>
      <c r="B251" s="153" t="n"/>
      <c r="C251" s="154" t="n"/>
      <c r="D251" s="154" t="n"/>
      <c r="E251" s="153" t="n"/>
      <c r="F251" s="153" t="n"/>
      <c r="G251" s="155" t="n"/>
      <c r="H251" s="155" t="n"/>
      <c r="I251" s="155">
        <f>IF(AND(G251&lt;&gt;"",H251&lt;&gt;""),G251-H251,"")</f>
        <v/>
      </c>
      <c r="J251" s="153" t="n"/>
      <c r="K251" s="153" t="n"/>
      <c r="L251" s="153" t="n"/>
      <c r="M251" s="153" t="n"/>
    </row>
    <row r="252">
      <c r="A252" s="150">
        <f>IF(B252&lt;&gt;"",ROW()-3,"")</f>
        <v/>
      </c>
      <c r="B252" s="150" t="n"/>
      <c r="C252" s="151" t="n"/>
      <c r="D252" s="151" t="n"/>
      <c r="E252" s="150" t="n"/>
      <c r="F252" s="150" t="n"/>
      <c r="G252" s="152" t="n"/>
      <c r="H252" s="152" t="n"/>
      <c r="I252" s="152">
        <f>IF(AND(G252&lt;&gt;"",H252&lt;&gt;""),G252-H252,"")</f>
        <v/>
      </c>
      <c r="J252" s="150" t="n"/>
      <c r="K252" s="150" t="n"/>
      <c r="L252" s="150" t="n"/>
      <c r="M252" s="150" t="n"/>
    </row>
    <row r="253">
      <c r="A253" s="153">
        <f>IF(B253&lt;&gt;"",ROW()-3,"")</f>
        <v/>
      </c>
      <c r="B253" s="153" t="n"/>
      <c r="C253" s="154" t="n"/>
      <c r="D253" s="154" t="n"/>
      <c r="E253" s="153" t="n"/>
      <c r="F253" s="153" t="n"/>
      <c r="G253" s="155" t="n"/>
      <c r="H253" s="155" t="n"/>
      <c r="I253" s="155">
        <f>IF(AND(G253&lt;&gt;"",H253&lt;&gt;""),G253-H253,"")</f>
        <v/>
      </c>
      <c r="J253" s="153" t="n"/>
      <c r="K253" s="153" t="n"/>
      <c r="L253" s="153" t="n"/>
      <c r="M253" s="153" t="n"/>
    </row>
    <row r="254">
      <c r="A254" s="150">
        <f>IF(B254&lt;&gt;"",ROW()-3,"")</f>
        <v/>
      </c>
      <c r="B254" s="150" t="n"/>
      <c r="C254" s="151" t="n"/>
      <c r="D254" s="151" t="n"/>
      <c r="E254" s="150" t="n"/>
      <c r="F254" s="150" t="n"/>
      <c r="G254" s="152" t="n"/>
      <c r="H254" s="152" t="n"/>
      <c r="I254" s="152">
        <f>IF(AND(G254&lt;&gt;"",H254&lt;&gt;""),G254-H254,"")</f>
        <v/>
      </c>
      <c r="J254" s="150" t="n"/>
      <c r="K254" s="150" t="n"/>
      <c r="L254" s="150" t="n"/>
      <c r="M254" s="150" t="n"/>
    </row>
    <row r="255">
      <c r="A255" s="153">
        <f>IF(B255&lt;&gt;"",ROW()-3,"")</f>
        <v/>
      </c>
      <c r="B255" s="153" t="n"/>
      <c r="C255" s="154" t="n"/>
      <c r="D255" s="154" t="n"/>
      <c r="E255" s="153" t="n"/>
      <c r="F255" s="153" t="n"/>
      <c r="G255" s="155" t="n"/>
      <c r="H255" s="155" t="n"/>
      <c r="I255" s="155">
        <f>IF(AND(G255&lt;&gt;"",H255&lt;&gt;""),G255-H255,"")</f>
        <v/>
      </c>
      <c r="J255" s="153" t="n"/>
      <c r="K255" s="153" t="n"/>
      <c r="L255" s="153" t="n"/>
      <c r="M255" s="153" t="n"/>
    </row>
    <row r="256">
      <c r="A256" s="150">
        <f>IF(B256&lt;&gt;"",ROW()-3,"")</f>
        <v/>
      </c>
      <c r="B256" s="150" t="n"/>
      <c r="C256" s="151" t="n"/>
      <c r="D256" s="151" t="n"/>
      <c r="E256" s="150" t="n"/>
      <c r="F256" s="150" t="n"/>
      <c r="G256" s="152" t="n"/>
      <c r="H256" s="152" t="n"/>
      <c r="I256" s="152">
        <f>IF(AND(G256&lt;&gt;"",H256&lt;&gt;""),G256-H256,"")</f>
        <v/>
      </c>
      <c r="J256" s="150" t="n"/>
      <c r="K256" s="150" t="n"/>
      <c r="L256" s="150" t="n"/>
      <c r="M256" s="150" t="n"/>
    </row>
    <row r="257">
      <c r="A257" s="153">
        <f>IF(B257&lt;&gt;"",ROW()-3,"")</f>
        <v/>
      </c>
      <c r="B257" s="153" t="n"/>
      <c r="C257" s="154" t="n"/>
      <c r="D257" s="154" t="n"/>
      <c r="E257" s="153" t="n"/>
      <c r="F257" s="153" t="n"/>
      <c r="G257" s="155" t="n"/>
      <c r="H257" s="155" t="n"/>
      <c r="I257" s="155">
        <f>IF(AND(G257&lt;&gt;"",H257&lt;&gt;""),G257-H257,"")</f>
        <v/>
      </c>
      <c r="J257" s="153" t="n"/>
      <c r="K257" s="153" t="n"/>
      <c r="L257" s="153" t="n"/>
      <c r="M257" s="153" t="n"/>
    </row>
    <row r="258">
      <c r="A258" s="150">
        <f>IF(B258&lt;&gt;"",ROW()-3,"")</f>
        <v/>
      </c>
      <c r="B258" s="150" t="n"/>
      <c r="C258" s="151" t="n"/>
      <c r="D258" s="151" t="n"/>
      <c r="E258" s="150" t="n"/>
      <c r="F258" s="150" t="n"/>
      <c r="G258" s="152" t="n"/>
      <c r="H258" s="152" t="n"/>
      <c r="I258" s="152">
        <f>IF(AND(G258&lt;&gt;"",H258&lt;&gt;""),G258-H258,"")</f>
        <v/>
      </c>
      <c r="J258" s="150" t="n"/>
      <c r="K258" s="150" t="n"/>
      <c r="L258" s="150" t="n"/>
      <c r="M258" s="150" t="n"/>
    </row>
    <row r="259">
      <c r="A259" s="153">
        <f>IF(B259&lt;&gt;"",ROW()-3,"")</f>
        <v/>
      </c>
      <c r="B259" s="153" t="n"/>
      <c r="C259" s="154" t="n"/>
      <c r="D259" s="154" t="n"/>
      <c r="E259" s="153" t="n"/>
      <c r="F259" s="153" t="n"/>
      <c r="G259" s="155" t="n"/>
      <c r="H259" s="155" t="n"/>
      <c r="I259" s="155">
        <f>IF(AND(G259&lt;&gt;"",H259&lt;&gt;""),G259-H259,"")</f>
        <v/>
      </c>
      <c r="J259" s="153" t="n"/>
      <c r="K259" s="153" t="n"/>
      <c r="L259" s="153" t="n"/>
      <c r="M259" s="153" t="n"/>
    </row>
    <row r="260">
      <c r="A260" s="150">
        <f>IF(B260&lt;&gt;"",ROW()-3,"")</f>
        <v/>
      </c>
      <c r="B260" s="150" t="n"/>
      <c r="C260" s="151" t="n"/>
      <c r="D260" s="151" t="n"/>
      <c r="E260" s="150" t="n"/>
      <c r="F260" s="150" t="n"/>
      <c r="G260" s="152" t="n"/>
      <c r="H260" s="152" t="n"/>
      <c r="I260" s="152">
        <f>IF(AND(G260&lt;&gt;"",H260&lt;&gt;""),G260-H260,"")</f>
        <v/>
      </c>
      <c r="J260" s="150" t="n"/>
      <c r="K260" s="150" t="n"/>
      <c r="L260" s="150" t="n"/>
      <c r="M260" s="150" t="n"/>
    </row>
    <row r="261">
      <c r="A261" s="153">
        <f>IF(B261&lt;&gt;"",ROW()-3,"")</f>
        <v/>
      </c>
      <c r="B261" s="153" t="n"/>
      <c r="C261" s="154" t="n"/>
      <c r="D261" s="154" t="n"/>
      <c r="E261" s="153" t="n"/>
      <c r="F261" s="153" t="n"/>
      <c r="G261" s="155" t="n"/>
      <c r="H261" s="155" t="n"/>
      <c r="I261" s="155">
        <f>IF(AND(G261&lt;&gt;"",H261&lt;&gt;""),G261-H261,"")</f>
        <v/>
      </c>
      <c r="J261" s="153" t="n"/>
      <c r="K261" s="153" t="n"/>
      <c r="L261" s="153" t="n"/>
      <c r="M261" s="153" t="n"/>
    </row>
    <row r="262">
      <c r="A262" s="150">
        <f>IF(B262&lt;&gt;"",ROW()-3,"")</f>
        <v/>
      </c>
      <c r="B262" s="150" t="n"/>
      <c r="C262" s="151" t="n"/>
      <c r="D262" s="151" t="n"/>
      <c r="E262" s="150" t="n"/>
      <c r="F262" s="150" t="n"/>
      <c r="G262" s="152" t="n"/>
      <c r="H262" s="152" t="n"/>
      <c r="I262" s="152">
        <f>IF(AND(G262&lt;&gt;"",H262&lt;&gt;""),G262-H262,"")</f>
        <v/>
      </c>
      <c r="J262" s="150" t="n"/>
      <c r="K262" s="150" t="n"/>
      <c r="L262" s="150" t="n"/>
      <c r="M262" s="150" t="n"/>
    </row>
    <row r="263">
      <c r="A263" s="153">
        <f>IF(B263&lt;&gt;"",ROW()-3,"")</f>
        <v/>
      </c>
      <c r="B263" s="153" t="n"/>
      <c r="C263" s="154" t="n"/>
      <c r="D263" s="154" t="n"/>
      <c r="E263" s="153" t="n"/>
      <c r="F263" s="153" t="n"/>
      <c r="G263" s="155" t="n"/>
      <c r="H263" s="155" t="n"/>
      <c r="I263" s="155">
        <f>IF(AND(G263&lt;&gt;"",H263&lt;&gt;""),G263-H263,"")</f>
        <v/>
      </c>
      <c r="J263" s="153" t="n"/>
      <c r="K263" s="153" t="n"/>
      <c r="L263" s="153" t="n"/>
      <c r="M263" s="153" t="n"/>
    </row>
    <row r="264">
      <c r="A264" s="150">
        <f>IF(B264&lt;&gt;"",ROW()-3,"")</f>
        <v/>
      </c>
      <c r="B264" s="150" t="n"/>
      <c r="C264" s="151" t="n"/>
      <c r="D264" s="151" t="n"/>
      <c r="E264" s="150" t="n"/>
      <c r="F264" s="150" t="n"/>
      <c r="G264" s="152" t="n"/>
      <c r="H264" s="152" t="n"/>
      <c r="I264" s="152">
        <f>IF(AND(G264&lt;&gt;"",H264&lt;&gt;""),G264-H264,"")</f>
        <v/>
      </c>
      <c r="J264" s="150" t="n"/>
      <c r="K264" s="150" t="n"/>
      <c r="L264" s="150" t="n"/>
      <c r="M264" s="150" t="n"/>
    </row>
    <row r="265">
      <c r="A265" s="153">
        <f>IF(B265&lt;&gt;"",ROW()-3,"")</f>
        <v/>
      </c>
      <c r="B265" s="153" t="n"/>
      <c r="C265" s="154" t="n"/>
      <c r="D265" s="154" t="n"/>
      <c r="E265" s="153" t="n"/>
      <c r="F265" s="153" t="n"/>
      <c r="G265" s="155" t="n"/>
      <c r="H265" s="155" t="n"/>
      <c r="I265" s="155">
        <f>IF(AND(G265&lt;&gt;"",H265&lt;&gt;""),G265-H265,"")</f>
        <v/>
      </c>
      <c r="J265" s="153" t="n"/>
      <c r="K265" s="153" t="n"/>
      <c r="L265" s="153" t="n"/>
      <c r="M265" s="153" t="n"/>
    </row>
    <row r="266">
      <c r="A266" s="150">
        <f>IF(B266&lt;&gt;"",ROW()-3,"")</f>
        <v/>
      </c>
      <c r="B266" s="150" t="n"/>
      <c r="C266" s="151" t="n"/>
      <c r="D266" s="151" t="n"/>
      <c r="E266" s="150" t="n"/>
      <c r="F266" s="150" t="n"/>
      <c r="G266" s="152" t="n"/>
      <c r="H266" s="152" t="n"/>
      <c r="I266" s="152">
        <f>IF(AND(G266&lt;&gt;"",H266&lt;&gt;""),G266-H266,"")</f>
        <v/>
      </c>
      <c r="J266" s="150" t="n"/>
      <c r="K266" s="150" t="n"/>
      <c r="L266" s="150" t="n"/>
      <c r="M266" s="150" t="n"/>
    </row>
    <row r="267">
      <c r="A267" s="153">
        <f>IF(B267&lt;&gt;"",ROW()-3,"")</f>
        <v/>
      </c>
      <c r="B267" s="153" t="n"/>
      <c r="C267" s="154" t="n"/>
      <c r="D267" s="154" t="n"/>
      <c r="E267" s="153" t="n"/>
      <c r="F267" s="153" t="n"/>
      <c r="G267" s="155" t="n"/>
      <c r="H267" s="155" t="n"/>
      <c r="I267" s="155">
        <f>IF(AND(G267&lt;&gt;"",H267&lt;&gt;""),G267-H267,"")</f>
        <v/>
      </c>
      <c r="J267" s="153" t="n"/>
      <c r="K267" s="153" t="n"/>
      <c r="L267" s="153" t="n"/>
      <c r="M267" s="153" t="n"/>
    </row>
    <row r="268">
      <c r="A268" s="150">
        <f>IF(B268&lt;&gt;"",ROW()-3,"")</f>
        <v/>
      </c>
      <c r="B268" s="150" t="n"/>
      <c r="C268" s="151" t="n"/>
      <c r="D268" s="151" t="n"/>
      <c r="E268" s="150" t="n"/>
      <c r="F268" s="150" t="n"/>
      <c r="G268" s="152" t="n"/>
      <c r="H268" s="152" t="n"/>
      <c r="I268" s="152">
        <f>IF(AND(G268&lt;&gt;"",H268&lt;&gt;""),G268-H268,"")</f>
        <v/>
      </c>
      <c r="J268" s="150" t="n"/>
      <c r="K268" s="150" t="n"/>
      <c r="L268" s="150" t="n"/>
      <c r="M268" s="150" t="n"/>
    </row>
    <row r="269">
      <c r="A269" s="153">
        <f>IF(B269&lt;&gt;"",ROW()-3,"")</f>
        <v/>
      </c>
      <c r="B269" s="153" t="n"/>
      <c r="C269" s="154" t="n"/>
      <c r="D269" s="154" t="n"/>
      <c r="E269" s="153" t="n"/>
      <c r="F269" s="153" t="n"/>
      <c r="G269" s="155" t="n"/>
      <c r="H269" s="155" t="n"/>
      <c r="I269" s="155">
        <f>IF(AND(G269&lt;&gt;"",H269&lt;&gt;""),G269-H269,"")</f>
        <v/>
      </c>
      <c r="J269" s="153" t="n"/>
      <c r="K269" s="153" t="n"/>
      <c r="L269" s="153" t="n"/>
      <c r="M269" s="153" t="n"/>
    </row>
    <row r="270">
      <c r="A270" s="150">
        <f>IF(B270&lt;&gt;"",ROW()-3,"")</f>
        <v/>
      </c>
      <c r="B270" s="150" t="n"/>
      <c r="C270" s="151" t="n"/>
      <c r="D270" s="151" t="n"/>
      <c r="E270" s="150" t="n"/>
      <c r="F270" s="150" t="n"/>
      <c r="G270" s="152" t="n"/>
      <c r="H270" s="152" t="n"/>
      <c r="I270" s="152">
        <f>IF(AND(G270&lt;&gt;"",H270&lt;&gt;""),G270-H270,"")</f>
        <v/>
      </c>
      <c r="J270" s="150" t="n"/>
      <c r="K270" s="150" t="n"/>
      <c r="L270" s="150" t="n"/>
      <c r="M270" s="150" t="n"/>
    </row>
    <row r="271">
      <c r="A271" s="153">
        <f>IF(B271&lt;&gt;"",ROW()-3,"")</f>
        <v/>
      </c>
      <c r="B271" s="153" t="n"/>
      <c r="C271" s="154" t="n"/>
      <c r="D271" s="154" t="n"/>
      <c r="E271" s="153" t="n"/>
      <c r="F271" s="153" t="n"/>
      <c r="G271" s="155" t="n"/>
      <c r="H271" s="155" t="n"/>
      <c r="I271" s="155">
        <f>IF(AND(G271&lt;&gt;"",H271&lt;&gt;""),G271-H271,"")</f>
        <v/>
      </c>
      <c r="J271" s="153" t="n"/>
      <c r="K271" s="153" t="n"/>
      <c r="L271" s="153" t="n"/>
      <c r="M271" s="153" t="n"/>
    </row>
    <row r="272">
      <c r="A272" s="150">
        <f>IF(B272&lt;&gt;"",ROW()-3,"")</f>
        <v/>
      </c>
      <c r="B272" s="150" t="n"/>
      <c r="C272" s="151" t="n"/>
      <c r="D272" s="151" t="n"/>
      <c r="E272" s="150" t="n"/>
      <c r="F272" s="150" t="n"/>
      <c r="G272" s="152" t="n"/>
      <c r="H272" s="152" t="n"/>
      <c r="I272" s="152">
        <f>IF(AND(G272&lt;&gt;"",H272&lt;&gt;""),G272-H272,"")</f>
        <v/>
      </c>
      <c r="J272" s="150" t="n"/>
      <c r="K272" s="150" t="n"/>
      <c r="L272" s="150" t="n"/>
      <c r="M272" s="150" t="n"/>
    </row>
    <row r="273">
      <c r="A273" s="153">
        <f>IF(B273&lt;&gt;"",ROW()-3,"")</f>
        <v/>
      </c>
      <c r="B273" s="153" t="n"/>
      <c r="C273" s="154" t="n"/>
      <c r="D273" s="154" t="n"/>
      <c r="E273" s="153" t="n"/>
      <c r="F273" s="153" t="n"/>
      <c r="G273" s="155" t="n"/>
      <c r="H273" s="155" t="n"/>
      <c r="I273" s="155">
        <f>IF(AND(G273&lt;&gt;"",H273&lt;&gt;""),G273-H273,"")</f>
        <v/>
      </c>
      <c r="J273" s="153" t="n"/>
      <c r="K273" s="153" t="n"/>
      <c r="L273" s="153" t="n"/>
      <c r="M273" s="153" t="n"/>
    </row>
    <row r="274">
      <c r="A274" s="150">
        <f>IF(B274&lt;&gt;"",ROW()-3,"")</f>
        <v/>
      </c>
      <c r="B274" s="150" t="n"/>
      <c r="C274" s="151" t="n"/>
      <c r="D274" s="151" t="n"/>
      <c r="E274" s="150" t="n"/>
      <c r="F274" s="150" t="n"/>
      <c r="G274" s="152" t="n"/>
      <c r="H274" s="152" t="n"/>
      <c r="I274" s="152">
        <f>IF(AND(G274&lt;&gt;"",H274&lt;&gt;""),G274-H274,"")</f>
        <v/>
      </c>
      <c r="J274" s="150" t="n"/>
      <c r="K274" s="150" t="n"/>
      <c r="L274" s="150" t="n"/>
      <c r="M274" s="150" t="n"/>
    </row>
    <row r="275">
      <c r="A275" s="153">
        <f>IF(B275&lt;&gt;"",ROW()-3,"")</f>
        <v/>
      </c>
      <c r="B275" s="153" t="n"/>
      <c r="C275" s="154" t="n"/>
      <c r="D275" s="154" t="n"/>
      <c r="E275" s="153" t="n"/>
      <c r="F275" s="153" t="n"/>
      <c r="G275" s="155" t="n"/>
      <c r="H275" s="155" t="n"/>
      <c r="I275" s="155">
        <f>IF(AND(G275&lt;&gt;"",H275&lt;&gt;""),G275-H275,"")</f>
        <v/>
      </c>
      <c r="J275" s="153" t="n"/>
      <c r="K275" s="153" t="n"/>
      <c r="L275" s="153" t="n"/>
      <c r="M275" s="153" t="n"/>
    </row>
    <row r="276">
      <c r="A276" s="150">
        <f>IF(B276&lt;&gt;"",ROW()-3,"")</f>
        <v/>
      </c>
      <c r="B276" s="150" t="n"/>
      <c r="C276" s="151" t="n"/>
      <c r="D276" s="151" t="n"/>
      <c r="E276" s="150" t="n"/>
      <c r="F276" s="150" t="n"/>
      <c r="G276" s="152" t="n"/>
      <c r="H276" s="152" t="n"/>
      <c r="I276" s="152">
        <f>IF(AND(G276&lt;&gt;"",H276&lt;&gt;""),G276-H276,"")</f>
        <v/>
      </c>
      <c r="J276" s="150" t="n"/>
      <c r="K276" s="150" t="n"/>
      <c r="L276" s="150" t="n"/>
      <c r="M276" s="150" t="n"/>
    </row>
    <row r="277">
      <c r="A277" s="153">
        <f>IF(B277&lt;&gt;"",ROW()-3,"")</f>
        <v/>
      </c>
      <c r="B277" s="153" t="n"/>
      <c r="C277" s="154" t="n"/>
      <c r="D277" s="154" t="n"/>
      <c r="E277" s="153" t="n"/>
      <c r="F277" s="153" t="n"/>
      <c r="G277" s="155" t="n"/>
      <c r="H277" s="155" t="n"/>
      <c r="I277" s="155">
        <f>IF(AND(G277&lt;&gt;"",H277&lt;&gt;""),G277-H277,"")</f>
        <v/>
      </c>
      <c r="J277" s="153" t="n"/>
      <c r="K277" s="153" t="n"/>
      <c r="L277" s="153" t="n"/>
      <c r="M277" s="153" t="n"/>
    </row>
    <row r="278">
      <c r="A278" s="150">
        <f>IF(B278&lt;&gt;"",ROW()-3,"")</f>
        <v/>
      </c>
      <c r="B278" s="150" t="n"/>
      <c r="C278" s="151" t="n"/>
      <c r="D278" s="151" t="n"/>
      <c r="E278" s="150" t="n"/>
      <c r="F278" s="150" t="n"/>
      <c r="G278" s="152" t="n"/>
      <c r="H278" s="152" t="n"/>
      <c r="I278" s="152">
        <f>IF(AND(G278&lt;&gt;"",H278&lt;&gt;""),G278-H278,"")</f>
        <v/>
      </c>
      <c r="J278" s="150" t="n"/>
      <c r="K278" s="150" t="n"/>
      <c r="L278" s="150" t="n"/>
      <c r="M278" s="150" t="n"/>
    </row>
    <row r="279">
      <c r="A279" s="153">
        <f>IF(B279&lt;&gt;"",ROW()-3,"")</f>
        <v/>
      </c>
      <c r="B279" s="153" t="n"/>
      <c r="C279" s="154" t="n"/>
      <c r="D279" s="154" t="n"/>
      <c r="E279" s="153" t="n"/>
      <c r="F279" s="153" t="n"/>
      <c r="G279" s="155" t="n"/>
      <c r="H279" s="155" t="n"/>
      <c r="I279" s="155">
        <f>IF(AND(G279&lt;&gt;"",H279&lt;&gt;""),G279-H279,"")</f>
        <v/>
      </c>
      <c r="J279" s="153" t="n"/>
      <c r="K279" s="153" t="n"/>
      <c r="L279" s="153" t="n"/>
      <c r="M279" s="153" t="n"/>
    </row>
    <row r="280">
      <c r="A280" s="150">
        <f>IF(B280&lt;&gt;"",ROW()-3,"")</f>
        <v/>
      </c>
      <c r="B280" s="150" t="n"/>
      <c r="C280" s="151" t="n"/>
      <c r="D280" s="151" t="n"/>
      <c r="E280" s="150" t="n"/>
      <c r="F280" s="150" t="n"/>
      <c r="G280" s="152" t="n"/>
      <c r="H280" s="152" t="n"/>
      <c r="I280" s="152">
        <f>IF(AND(G280&lt;&gt;"",H280&lt;&gt;""),G280-H280,"")</f>
        <v/>
      </c>
      <c r="J280" s="150" t="n"/>
      <c r="K280" s="150" t="n"/>
      <c r="L280" s="150" t="n"/>
      <c r="M280" s="150" t="n"/>
    </row>
    <row r="281">
      <c r="A281" s="153">
        <f>IF(B281&lt;&gt;"",ROW()-3,"")</f>
        <v/>
      </c>
      <c r="B281" s="153" t="n"/>
      <c r="C281" s="154" t="n"/>
      <c r="D281" s="154" t="n"/>
      <c r="E281" s="153" t="n"/>
      <c r="F281" s="153" t="n"/>
      <c r="G281" s="155" t="n"/>
      <c r="H281" s="155" t="n"/>
      <c r="I281" s="155">
        <f>IF(AND(G281&lt;&gt;"",H281&lt;&gt;""),G281-H281,"")</f>
        <v/>
      </c>
      <c r="J281" s="153" t="n"/>
      <c r="K281" s="153" t="n"/>
      <c r="L281" s="153" t="n"/>
      <c r="M281" s="153" t="n"/>
    </row>
    <row r="282">
      <c r="A282" s="150">
        <f>IF(B282&lt;&gt;"",ROW()-3,"")</f>
        <v/>
      </c>
      <c r="B282" s="150" t="n"/>
      <c r="C282" s="151" t="n"/>
      <c r="D282" s="151" t="n"/>
      <c r="E282" s="150" t="n"/>
      <c r="F282" s="150" t="n"/>
      <c r="G282" s="152" t="n"/>
      <c r="H282" s="152" t="n"/>
      <c r="I282" s="152">
        <f>IF(AND(G282&lt;&gt;"",H282&lt;&gt;""),G282-H282,"")</f>
        <v/>
      </c>
      <c r="J282" s="150" t="n"/>
      <c r="K282" s="150" t="n"/>
      <c r="L282" s="150" t="n"/>
      <c r="M282" s="150" t="n"/>
    </row>
    <row r="283">
      <c r="A283" s="153">
        <f>IF(B283&lt;&gt;"",ROW()-3,"")</f>
        <v/>
      </c>
      <c r="B283" s="153" t="n"/>
      <c r="C283" s="154" t="n"/>
      <c r="D283" s="154" t="n"/>
      <c r="E283" s="153" t="n"/>
      <c r="F283" s="153" t="n"/>
      <c r="G283" s="155" t="n"/>
      <c r="H283" s="155" t="n"/>
      <c r="I283" s="155">
        <f>IF(AND(G283&lt;&gt;"",H283&lt;&gt;""),G283-H283,"")</f>
        <v/>
      </c>
      <c r="J283" s="153" t="n"/>
      <c r="K283" s="153" t="n"/>
      <c r="L283" s="153" t="n"/>
      <c r="M283" s="153" t="n"/>
    </row>
    <row r="284">
      <c r="A284" s="150">
        <f>IF(B284&lt;&gt;"",ROW()-3,"")</f>
        <v/>
      </c>
      <c r="B284" s="150" t="n"/>
      <c r="C284" s="151" t="n"/>
      <c r="D284" s="151" t="n"/>
      <c r="E284" s="150" t="n"/>
      <c r="F284" s="150" t="n"/>
      <c r="G284" s="152" t="n"/>
      <c r="H284" s="152" t="n"/>
      <c r="I284" s="152">
        <f>IF(AND(G284&lt;&gt;"",H284&lt;&gt;""),G284-H284,"")</f>
        <v/>
      </c>
      <c r="J284" s="150" t="n"/>
      <c r="K284" s="150" t="n"/>
      <c r="L284" s="150" t="n"/>
      <c r="M284" s="150" t="n"/>
    </row>
    <row r="285">
      <c r="A285" s="153">
        <f>IF(B285&lt;&gt;"",ROW()-3,"")</f>
        <v/>
      </c>
      <c r="B285" s="153" t="n"/>
      <c r="C285" s="154" t="n"/>
      <c r="D285" s="154" t="n"/>
      <c r="E285" s="153" t="n"/>
      <c r="F285" s="153" t="n"/>
      <c r="G285" s="155" t="n"/>
      <c r="H285" s="155" t="n"/>
      <c r="I285" s="155">
        <f>IF(AND(G285&lt;&gt;"",H285&lt;&gt;""),G285-H285,"")</f>
        <v/>
      </c>
      <c r="J285" s="153" t="n"/>
      <c r="K285" s="153" t="n"/>
      <c r="L285" s="153" t="n"/>
      <c r="M285" s="153" t="n"/>
    </row>
    <row r="286">
      <c r="A286" s="150">
        <f>IF(B286&lt;&gt;"",ROW()-3,"")</f>
        <v/>
      </c>
      <c r="B286" s="150" t="n"/>
      <c r="C286" s="151" t="n"/>
      <c r="D286" s="151" t="n"/>
      <c r="E286" s="150" t="n"/>
      <c r="F286" s="150" t="n"/>
      <c r="G286" s="152" t="n"/>
      <c r="H286" s="152" t="n"/>
      <c r="I286" s="152">
        <f>IF(AND(G286&lt;&gt;"",H286&lt;&gt;""),G286-H286,"")</f>
        <v/>
      </c>
      <c r="J286" s="150" t="n"/>
      <c r="K286" s="150" t="n"/>
      <c r="L286" s="150" t="n"/>
      <c r="M286" s="150" t="n"/>
    </row>
    <row r="287">
      <c r="A287" s="153">
        <f>IF(B287&lt;&gt;"",ROW()-3,"")</f>
        <v/>
      </c>
      <c r="B287" s="153" t="n"/>
      <c r="C287" s="154" t="n"/>
      <c r="D287" s="154" t="n"/>
      <c r="E287" s="153" t="n"/>
      <c r="F287" s="153" t="n"/>
      <c r="G287" s="155" t="n"/>
      <c r="H287" s="155" t="n"/>
      <c r="I287" s="155">
        <f>IF(AND(G287&lt;&gt;"",H287&lt;&gt;""),G287-H287,"")</f>
        <v/>
      </c>
      <c r="J287" s="153" t="n"/>
      <c r="K287" s="153" t="n"/>
      <c r="L287" s="153" t="n"/>
      <c r="M287" s="153" t="n"/>
    </row>
    <row r="288">
      <c r="A288" s="150">
        <f>IF(B288&lt;&gt;"",ROW()-3,"")</f>
        <v/>
      </c>
      <c r="B288" s="150" t="n"/>
      <c r="C288" s="151" t="n"/>
      <c r="D288" s="151" t="n"/>
      <c r="E288" s="150" t="n"/>
      <c r="F288" s="150" t="n"/>
      <c r="G288" s="152" t="n"/>
      <c r="H288" s="152" t="n"/>
      <c r="I288" s="152">
        <f>IF(AND(G288&lt;&gt;"",H288&lt;&gt;""),G288-H288,"")</f>
        <v/>
      </c>
      <c r="J288" s="150" t="n"/>
      <c r="K288" s="150" t="n"/>
      <c r="L288" s="150" t="n"/>
      <c r="M288" s="150" t="n"/>
    </row>
    <row r="289">
      <c r="A289" s="153">
        <f>IF(B289&lt;&gt;"",ROW()-3,"")</f>
        <v/>
      </c>
      <c r="B289" s="153" t="n"/>
      <c r="C289" s="154" t="n"/>
      <c r="D289" s="154" t="n"/>
      <c r="E289" s="153" t="n"/>
      <c r="F289" s="153" t="n"/>
      <c r="G289" s="155" t="n"/>
      <c r="H289" s="155" t="n"/>
      <c r="I289" s="155">
        <f>IF(AND(G289&lt;&gt;"",H289&lt;&gt;""),G289-H289,"")</f>
        <v/>
      </c>
      <c r="J289" s="153" t="n"/>
      <c r="K289" s="153" t="n"/>
      <c r="L289" s="153" t="n"/>
      <c r="M289" s="153" t="n"/>
    </row>
    <row r="290">
      <c r="A290" s="150">
        <f>IF(B290&lt;&gt;"",ROW()-3,"")</f>
        <v/>
      </c>
      <c r="B290" s="150" t="n"/>
      <c r="C290" s="151" t="n"/>
      <c r="D290" s="151" t="n"/>
      <c r="E290" s="150" t="n"/>
      <c r="F290" s="150" t="n"/>
      <c r="G290" s="152" t="n"/>
      <c r="H290" s="152" t="n"/>
      <c r="I290" s="152">
        <f>IF(AND(G290&lt;&gt;"",H290&lt;&gt;""),G290-H290,"")</f>
        <v/>
      </c>
      <c r="J290" s="150" t="n"/>
      <c r="K290" s="150" t="n"/>
      <c r="L290" s="150" t="n"/>
      <c r="M290" s="150" t="n"/>
    </row>
    <row r="291">
      <c r="A291" s="153">
        <f>IF(B291&lt;&gt;"",ROW()-3,"")</f>
        <v/>
      </c>
      <c r="B291" s="153" t="n"/>
      <c r="C291" s="154" t="n"/>
      <c r="D291" s="154" t="n"/>
      <c r="E291" s="153" t="n"/>
      <c r="F291" s="153" t="n"/>
      <c r="G291" s="155" t="n"/>
      <c r="H291" s="155" t="n"/>
      <c r="I291" s="155">
        <f>IF(AND(G291&lt;&gt;"",H291&lt;&gt;""),G291-H291,"")</f>
        <v/>
      </c>
      <c r="J291" s="153" t="n"/>
      <c r="K291" s="153" t="n"/>
      <c r="L291" s="153" t="n"/>
      <c r="M291" s="153" t="n"/>
    </row>
    <row r="292">
      <c r="A292" s="150">
        <f>IF(B292&lt;&gt;"",ROW()-3,"")</f>
        <v/>
      </c>
      <c r="B292" s="150" t="n"/>
      <c r="C292" s="151" t="n"/>
      <c r="D292" s="151" t="n"/>
      <c r="E292" s="150" t="n"/>
      <c r="F292" s="150" t="n"/>
      <c r="G292" s="152" t="n"/>
      <c r="H292" s="152" t="n"/>
      <c r="I292" s="152">
        <f>IF(AND(G292&lt;&gt;"",H292&lt;&gt;""),G292-H292,"")</f>
        <v/>
      </c>
      <c r="J292" s="150" t="n"/>
      <c r="K292" s="150" t="n"/>
      <c r="L292" s="150" t="n"/>
      <c r="M292" s="150" t="n"/>
    </row>
    <row r="293">
      <c r="A293" s="153">
        <f>IF(B293&lt;&gt;"",ROW()-3,"")</f>
        <v/>
      </c>
      <c r="B293" s="153" t="n"/>
      <c r="C293" s="154" t="n"/>
      <c r="D293" s="154" t="n"/>
      <c r="E293" s="153" t="n"/>
      <c r="F293" s="153" t="n"/>
      <c r="G293" s="155" t="n"/>
      <c r="H293" s="155" t="n"/>
      <c r="I293" s="155">
        <f>IF(AND(G293&lt;&gt;"",H293&lt;&gt;""),G293-H293,"")</f>
        <v/>
      </c>
      <c r="J293" s="153" t="n"/>
      <c r="K293" s="153" t="n"/>
      <c r="L293" s="153" t="n"/>
      <c r="M293" s="153" t="n"/>
    </row>
    <row r="294">
      <c r="A294" s="150">
        <f>IF(B294&lt;&gt;"",ROW()-3,"")</f>
        <v/>
      </c>
      <c r="B294" s="150" t="n"/>
      <c r="C294" s="151" t="n"/>
      <c r="D294" s="151" t="n"/>
      <c r="E294" s="150" t="n"/>
      <c r="F294" s="150" t="n"/>
      <c r="G294" s="152" t="n"/>
      <c r="H294" s="152" t="n"/>
      <c r="I294" s="152">
        <f>IF(AND(G294&lt;&gt;"",H294&lt;&gt;""),G294-H294,"")</f>
        <v/>
      </c>
      <c r="J294" s="150" t="n"/>
      <c r="K294" s="150" t="n"/>
      <c r="L294" s="150" t="n"/>
      <c r="M294" s="150" t="n"/>
    </row>
    <row r="295">
      <c r="A295" s="153">
        <f>IF(B295&lt;&gt;"",ROW()-3,"")</f>
        <v/>
      </c>
      <c r="B295" s="153" t="n"/>
      <c r="C295" s="154" t="n"/>
      <c r="D295" s="154" t="n"/>
      <c r="E295" s="153" t="n"/>
      <c r="F295" s="153" t="n"/>
      <c r="G295" s="155" t="n"/>
      <c r="H295" s="155" t="n"/>
      <c r="I295" s="155">
        <f>IF(AND(G295&lt;&gt;"",H295&lt;&gt;""),G295-H295,"")</f>
        <v/>
      </c>
      <c r="J295" s="153" t="n"/>
      <c r="K295" s="153" t="n"/>
      <c r="L295" s="153" t="n"/>
      <c r="M295" s="153" t="n"/>
    </row>
    <row r="296">
      <c r="A296" s="150">
        <f>IF(B296&lt;&gt;"",ROW()-3,"")</f>
        <v/>
      </c>
      <c r="B296" s="150" t="n"/>
      <c r="C296" s="151" t="n"/>
      <c r="D296" s="151" t="n"/>
      <c r="E296" s="150" t="n"/>
      <c r="F296" s="150" t="n"/>
      <c r="G296" s="152" t="n"/>
      <c r="H296" s="152" t="n"/>
      <c r="I296" s="152">
        <f>IF(AND(G296&lt;&gt;"",H296&lt;&gt;""),G296-H296,"")</f>
        <v/>
      </c>
      <c r="J296" s="150" t="n"/>
      <c r="K296" s="150" t="n"/>
      <c r="L296" s="150" t="n"/>
      <c r="M296" s="150" t="n"/>
    </row>
    <row r="297">
      <c r="A297" s="153">
        <f>IF(B297&lt;&gt;"",ROW()-3,"")</f>
        <v/>
      </c>
      <c r="B297" s="153" t="n"/>
      <c r="C297" s="154" t="n"/>
      <c r="D297" s="154" t="n"/>
      <c r="E297" s="153" t="n"/>
      <c r="F297" s="153" t="n"/>
      <c r="G297" s="155" t="n"/>
      <c r="H297" s="155" t="n"/>
      <c r="I297" s="155">
        <f>IF(AND(G297&lt;&gt;"",H297&lt;&gt;""),G297-H297,"")</f>
        <v/>
      </c>
      <c r="J297" s="153" t="n"/>
      <c r="K297" s="153" t="n"/>
      <c r="L297" s="153" t="n"/>
      <c r="M297" s="153" t="n"/>
    </row>
    <row r="298">
      <c r="A298" s="150">
        <f>IF(B298&lt;&gt;"",ROW()-3,"")</f>
        <v/>
      </c>
      <c r="B298" s="150" t="n"/>
      <c r="C298" s="151" t="n"/>
      <c r="D298" s="151" t="n"/>
      <c r="E298" s="150" t="n"/>
      <c r="F298" s="150" t="n"/>
      <c r="G298" s="152" t="n"/>
      <c r="H298" s="152" t="n"/>
      <c r="I298" s="152">
        <f>IF(AND(G298&lt;&gt;"",H298&lt;&gt;""),G298-H298,"")</f>
        <v/>
      </c>
      <c r="J298" s="150" t="n"/>
      <c r="K298" s="150" t="n"/>
      <c r="L298" s="150" t="n"/>
      <c r="M298" s="150" t="n"/>
    </row>
    <row r="299">
      <c r="A299" s="153">
        <f>IF(B299&lt;&gt;"",ROW()-3,"")</f>
        <v/>
      </c>
      <c r="B299" s="153" t="n"/>
      <c r="C299" s="154" t="n"/>
      <c r="D299" s="154" t="n"/>
      <c r="E299" s="153" t="n"/>
      <c r="F299" s="153" t="n"/>
      <c r="G299" s="155" t="n"/>
      <c r="H299" s="155" t="n"/>
      <c r="I299" s="155">
        <f>IF(AND(G299&lt;&gt;"",H299&lt;&gt;""),G299-H299,"")</f>
        <v/>
      </c>
      <c r="J299" s="153" t="n"/>
      <c r="K299" s="153" t="n"/>
      <c r="L299" s="153" t="n"/>
      <c r="M299" s="153" t="n"/>
    </row>
    <row r="300">
      <c r="A300" s="150">
        <f>IF(B300&lt;&gt;"",ROW()-3,"")</f>
        <v/>
      </c>
      <c r="B300" s="150" t="n"/>
      <c r="C300" s="151" t="n"/>
      <c r="D300" s="151" t="n"/>
      <c r="E300" s="150" t="n"/>
      <c r="F300" s="150" t="n"/>
      <c r="G300" s="152" t="n"/>
      <c r="H300" s="152" t="n"/>
      <c r="I300" s="152">
        <f>IF(AND(G300&lt;&gt;"",H300&lt;&gt;""),G300-H300,"")</f>
        <v/>
      </c>
      <c r="J300" s="150" t="n"/>
      <c r="K300" s="150" t="n"/>
      <c r="L300" s="150" t="n"/>
      <c r="M300" s="150" t="n"/>
    </row>
    <row r="301">
      <c r="A301" s="153">
        <f>IF(B301&lt;&gt;"",ROW()-3,"")</f>
        <v/>
      </c>
      <c r="B301" s="153" t="n"/>
      <c r="C301" s="154" t="n"/>
      <c r="D301" s="154" t="n"/>
      <c r="E301" s="153" t="n"/>
      <c r="F301" s="153" t="n"/>
      <c r="G301" s="155" t="n"/>
      <c r="H301" s="155" t="n"/>
      <c r="I301" s="155">
        <f>IF(AND(G301&lt;&gt;"",H301&lt;&gt;""),G301-H301,"")</f>
        <v/>
      </c>
      <c r="J301" s="153" t="n"/>
      <c r="K301" s="153" t="n"/>
      <c r="L301" s="153" t="n"/>
      <c r="M301" s="153" t="n"/>
    </row>
    <row r="302">
      <c r="A302" s="150">
        <f>IF(B302&lt;&gt;"",ROW()-3,"")</f>
        <v/>
      </c>
      <c r="B302" s="150" t="n"/>
      <c r="C302" s="151" t="n"/>
      <c r="D302" s="151" t="n"/>
      <c r="E302" s="150" t="n"/>
      <c r="F302" s="150" t="n"/>
      <c r="G302" s="152" t="n"/>
      <c r="H302" s="152" t="n"/>
      <c r="I302" s="152">
        <f>IF(AND(G302&lt;&gt;"",H302&lt;&gt;""),G302-H302,"")</f>
        <v/>
      </c>
      <c r="J302" s="150" t="n"/>
      <c r="K302" s="150" t="n"/>
      <c r="L302" s="150" t="n"/>
      <c r="M302" s="150" t="n"/>
    </row>
    <row r="303">
      <c r="A303" s="153">
        <f>IF(B303&lt;&gt;"",ROW()-3,"")</f>
        <v/>
      </c>
      <c r="B303" s="153" t="n"/>
      <c r="C303" s="154" t="n"/>
      <c r="D303" s="154" t="n"/>
      <c r="E303" s="153" t="n"/>
      <c r="F303" s="153" t="n"/>
      <c r="G303" s="155" t="n"/>
      <c r="H303" s="155" t="n"/>
      <c r="I303" s="155">
        <f>IF(AND(G303&lt;&gt;"",H303&lt;&gt;""),G303-H303,"")</f>
        <v/>
      </c>
      <c r="J303" s="153" t="n"/>
      <c r="K303" s="153" t="n"/>
      <c r="L303" s="153" t="n"/>
      <c r="M303" s="153" t="n"/>
    </row>
    <row r="304">
      <c r="A304" s="150">
        <f>IF(B304&lt;&gt;"",ROW()-3,"")</f>
        <v/>
      </c>
      <c r="B304" s="150" t="n"/>
      <c r="C304" s="151" t="n"/>
      <c r="D304" s="151" t="n"/>
      <c r="E304" s="150" t="n"/>
      <c r="F304" s="150" t="n"/>
      <c r="G304" s="152" t="n"/>
      <c r="H304" s="152" t="n"/>
      <c r="I304" s="152">
        <f>IF(AND(G304&lt;&gt;"",H304&lt;&gt;""),G304-H304,"")</f>
        <v/>
      </c>
      <c r="J304" s="150" t="n"/>
      <c r="K304" s="150" t="n"/>
      <c r="L304" s="150" t="n"/>
      <c r="M304" s="150" t="n"/>
    </row>
    <row r="305">
      <c r="A305" s="153">
        <f>IF(B305&lt;&gt;"",ROW()-3,"")</f>
        <v/>
      </c>
      <c r="B305" s="153" t="n"/>
      <c r="C305" s="154" t="n"/>
      <c r="D305" s="154" t="n"/>
      <c r="E305" s="153" t="n"/>
      <c r="F305" s="153" t="n"/>
      <c r="G305" s="155" t="n"/>
      <c r="H305" s="155" t="n"/>
      <c r="I305" s="155">
        <f>IF(AND(G305&lt;&gt;"",H305&lt;&gt;""),G305-H305,"")</f>
        <v/>
      </c>
      <c r="J305" s="153" t="n"/>
      <c r="K305" s="153" t="n"/>
      <c r="L305" s="153" t="n"/>
      <c r="M305" s="153" t="n"/>
    </row>
    <row r="306">
      <c r="A306" s="150">
        <f>IF(B306&lt;&gt;"",ROW()-3,"")</f>
        <v/>
      </c>
      <c r="B306" s="150" t="n"/>
      <c r="C306" s="151" t="n"/>
      <c r="D306" s="151" t="n"/>
      <c r="E306" s="150" t="n"/>
      <c r="F306" s="150" t="n"/>
      <c r="G306" s="152" t="n"/>
      <c r="H306" s="152" t="n"/>
      <c r="I306" s="152">
        <f>IF(AND(G306&lt;&gt;"",H306&lt;&gt;""),G306-H306,"")</f>
        <v/>
      </c>
      <c r="J306" s="150" t="n"/>
      <c r="K306" s="150" t="n"/>
      <c r="L306" s="150" t="n"/>
      <c r="M306" s="150" t="n"/>
    </row>
    <row r="307">
      <c r="A307" s="153">
        <f>IF(B307&lt;&gt;"",ROW()-3,"")</f>
        <v/>
      </c>
      <c r="B307" s="153" t="n"/>
      <c r="C307" s="154" t="n"/>
      <c r="D307" s="154" t="n"/>
      <c r="E307" s="153" t="n"/>
      <c r="F307" s="153" t="n"/>
      <c r="G307" s="155" t="n"/>
      <c r="H307" s="155" t="n"/>
      <c r="I307" s="155">
        <f>IF(AND(G307&lt;&gt;"",H307&lt;&gt;""),G307-H307,"")</f>
        <v/>
      </c>
      <c r="J307" s="153" t="n"/>
      <c r="K307" s="153" t="n"/>
      <c r="L307" s="153" t="n"/>
      <c r="M307" s="153" t="n"/>
    </row>
    <row r="308">
      <c r="A308" s="150">
        <f>IF(B308&lt;&gt;"",ROW()-3,"")</f>
        <v/>
      </c>
      <c r="B308" s="150" t="n"/>
      <c r="C308" s="151" t="n"/>
      <c r="D308" s="151" t="n"/>
      <c r="E308" s="150" t="n"/>
      <c r="F308" s="150" t="n"/>
      <c r="G308" s="152" t="n"/>
      <c r="H308" s="152" t="n"/>
      <c r="I308" s="152">
        <f>IF(AND(G308&lt;&gt;"",H308&lt;&gt;""),G308-H308,"")</f>
        <v/>
      </c>
      <c r="J308" s="150" t="n"/>
      <c r="K308" s="150" t="n"/>
      <c r="L308" s="150" t="n"/>
      <c r="M308" s="150" t="n"/>
    </row>
    <row r="309">
      <c r="A309" s="153">
        <f>IF(B309&lt;&gt;"",ROW()-3,"")</f>
        <v/>
      </c>
      <c r="B309" s="153" t="n"/>
      <c r="C309" s="154" t="n"/>
      <c r="D309" s="154" t="n"/>
      <c r="E309" s="153" t="n"/>
      <c r="F309" s="153" t="n"/>
      <c r="G309" s="155" t="n"/>
      <c r="H309" s="155" t="n"/>
      <c r="I309" s="155">
        <f>IF(AND(G309&lt;&gt;"",H309&lt;&gt;""),G309-H309,"")</f>
        <v/>
      </c>
      <c r="J309" s="153" t="n"/>
      <c r="K309" s="153" t="n"/>
      <c r="L309" s="153" t="n"/>
      <c r="M309" s="153" t="n"/>
    </row>
    <row r="310">
      <c r="A310" s="150">
        <f>IF(B310&lt;&gt;"",ROW()-3,"")</f>
        <v/>
      </c>
      <c r="B310" s="150" t="n"/>
      <c r="C310" s="151" t="n"/>
      <c r="D310" s="151" t="n"/>
      <c r="E310" s="150" t="n"/>
      <c r="F310" s="150" t="n"/>
      <c r="G310" s="152" t="n"/>
      <c r="H310" s="152" t="n"/>
      <c r="I310" s="152">
        <f>IF(AND(G310&lt;&gt;"",H310&lt;&gt;""),G310-H310,"")</f>
        <v/>
      </c>
      <c r="J310" s="150" t="n"/>
      <c r="K310" s="150" t="n"/>
      <c r="L310" s="150" t="n"/>
      <c r="M310" s="150" t="n"/>
    </row>
    <row r="311">
      <c r="A311" s="153">
        <f>IF(B311&lt;&gt;"",ROW()-3,"")</f>
        <v/>
      </c>
      <c r="B311" s="153" t="n"/>
      <c r="C311" s="154" t="n"/>
      <c r="D311" s="154" t="n"/>
      <c r="E311" s="153" t="n"/>
      <c r="F311" s="153" t="n"/>
      <c r="G311" s="155" t="n"/>
      <c r="H311" s="155" t="n"/>
      <c r="I311" s="155">
        <f>IF(AND(G311&lt;&gt;"",H311&lt;&gt;""),G311-H311,"")</f>
        <v/>
      </c>
      <c r="J311" s="153" t="n"/>
      <c r="K311" s="153" t="n"/>
      <c r="L311" s="153" t="n"/>
      <c r="M311" s="153" t="n"/>
    </row>
    <row r="312">
      <c r="A312" s="150">
        <f>IF(B312&lt;&gt;"",ROW()-3,"")</f>
        <v/>
      </c>
      <c r="B312" s="150" t="n"/>
      <c r="C312" s="151" t="n"/>
      <c r="D312" s="151" t="n"/>
      <c r="E312" s="150" t="n"/>
      <c r="F312" s="150" t="n"/>
      <c r="G312" s="152" t="n"/>
      <c r="H312" s="152" t="n"/>
      <c r="I312" s="152">
        <f>IF(AND(G312&lt;&gt;"",H312&lt;&gt;""),G312-H312,"")</f>
        <v/>
      </c>
      <c r="J312" s="150" t="n"/>
      <c r="K312" s="150" t="n"/>
      <c r="L312" s="150" t="n"/>
      <c r="M312" s="150" t="n"/>
    </row>
    <row r="313">
      <c r="A313" s="153">
        <f>IF(B313&lt;&gt;"",ROW()-3,"")</f>
        <v/>
      </c>
      <c r="B313" s="153" t="n"/>
      <c r="C313" s="154" t="n"/>
      <c r="D313" s="154" t="n"/>
      <c r="E313" s="153" t="n"/>
      <c r="F313" s="153" t="n"/>
      <c r="G313" s="155" t="n"/>
      <c r="H313" s="155" t="n"/>
      <c r="I313" s="155">
        <f>IF(AND(G313&lt;&gt;"",H313&lt;&gt;""),G313-H313,"")</f>
        <v/>
      </c>
      <c r="J313" s="153" t="n"/>
      <c r="K313" s="153" t="n"/>
      <c r="L313" s="153" t="n"/>
      <c r="M313" s="153" t="n"/>
    </row>
    <row r="314">
      <c r="A314" s="150">
        <f>IF(B314&lt;&gt;"",ROW()-3,"")</f>
        <v/>
      </c>
      <c r="B314" s="150" t="n"/>
      <c r="C314" s="151" t="n"/>
      <c r="D314" s="151" t="n"/>
      <c r="E314" s="150" t="n"/>
      <c r="F314" s="150" t="n"/>
      <c r="G314" s="152" t="n"/>
      <c r="H314" s="152" t="n"/>
      <c r="I314" s="152">
        <f>IF(AND(G314&lt;&gt;"",H314&lt;&gt;""),G314-H314,"")</f>
        <v/>
      </c>
      <c r="J314" s="150" t="n"/>
      <c r="K314" s="150" t="n"/>
      <c r="L314" s="150" t="n"/>
      <c r="M314" s="150" t="n"/>
    </row>
    <row r="315">
      <c r="A315" s="153">
        <f>IF(B315&lt;&gt;"",ROW()-3,"")</f>
        <v/>
      </c>
      <c r="B315" s="153" t="n"/>
      <c r="C315" s="154" t="n"/>
      <c r="D315" s="154" t="n"/>
      <c r="E315" s="153" t="n"/>
      <c r="F315" s="153" t="n"/>
      <c r="G315" s="155" t="n"/>
      <c r="H315" s="155" t="n"/>
      <c r="I315" s="155">
        <f>IF(AND(G315&lt;&gt;"",H315&lt;&gt;""),G315-H315,"")</f>
        <v/>
      </c>
      <c r="J315" s="153" t="n"/>
      <c r="K315" s="153" t="n"/>
      <c r="L315" s="153" t="n"/>
      <c r="M315" s="153" t="n"/>
    </row>
    <row r="316">
      <c r="A316" s="150">
        <f>IF(B316&lt;&gt;"",ROW()-3,"")</f>
        <v/>
      </c>
      <c r="B316" s="150" t="n"/>
      <c r="C316" s="151" t="n"/>
      <c r="D316" s="151" t="n"/>
      <c r="E316" s="150" t="n"/>
      <c r="F316" s="150" t="n"/>
      <c r="G316" s="152" t="n"/>
      <c r="H316" s="152" t="n"/>
      <c r="I316" s="152">
        <f>IF(AND(G316&lt;&gt;"",H316&lt;&gt;""),G316-H316,"")</f>
        <v/>
      </c>
      <c r="J316" s="150" t="n"/>
      <c r="K316" s="150" t="n"/>
      <c r="L316" s="150" t="n"/>
      <c r="M316" s="150" t="n"/>
    </row>
    <row r="317">
      <c r="A317" s="153">
        <f>IF(B317&lt;&gt;"",ROW()-3,"")</f>
        <v/>
      </c>
      <c r="B317" s="153" t="n"/>
      <c r="C317" s="154" t="n"/>
      <c r="D317" s="154" t="n"/>
      <c r="E317" s="153" t="n"/>
      <c r="F317" s="153" t="n"/>
      <c r="G317" s="155" t="n"/>
      <c r="H317" s="155" t="n"/>
      <c r="I317" s="155">
        <f>IF(AND(G317&lt;&gt;"",H317&lt;&gt;""),G317-H317,"")</f>
        <v/>
      </c>
      <c r="J317" s="153" t="n"/>
      <c r="K317" s="153" t="n"/>
      <c r="L317" s="153" t="n"/>
      <c r="M317" s="153" t="n"/>
    </row>
    <row r="318">
      <c r="A318" s="150">
        <f>IF(B318&lt;&gt;"",ROW()-3,"")</f>
        <v/>
      </c>
      <c r="B318" s="150" t="n"/>
      <c r="C318" s="151" t="n"/>
      <c r="D318" s="151" t="n"/>
      <c r="E318" s="150" t="n"/>
      <c r="F318" s="150" t="n"/>
      <c r="G318" s="152" t="n"/>
      <c r="H318" s="152" t="n"/>
      <c r="I318" s="152">
        <f>IF(AND(G318&lt;&gt;"",H318&lt;&gt;""),G318-H318,"")</f>
        <v/>
      </c>
      <c r="J318" s="150" t="n"/>
      <c r="K318" s="150" t="n"/>
      <c r="L318" s="150" t="n"/>
      <c r="M318" s="150" t="n"/>
    </row>
    <row r="319">
      <c r="A319" s="153">
        <f>IF(B319&lt;&gt;"",ROW()-3,"")</f>
        <v/>
      </c>
      <c r="B319" s="153" t="n"/>
      <c r="C319" s="154" t="n"/>
      <c r="D319" s="154" t="n"/>
      <c r="E319" s="153" t="n"/>
      <c r="F319" s="153" t="n"/>
      <c r="G319" s="155" t="n"/>
      <c r="H319" s="155" t="n"/>
      <c r="I319" s="155">
        <f>IF(AND(G319&lt;&gt;"",H319&lt;&gt;""),G319-H319,"")</f>
        <v/>
      </c>
      <c r="J319" s="153" t="n"/>
      <c r="K319" s="153" t="n"/>
      <c r="L319" s="153" t="n"/>
      <c r="M319" s="153" t="n"/>
    </row>
    <row r="320">
      <c r="A320" s="150">
        <f>IF(B320&lt;&gt;"",ROW()-3,"")</f>
        <v/>
      </c>
      <c r="B320" s="150" t="n"/>
      <c r="C320" s="151" t="n"/>
      <c r="D320" s="151" t="n"/>
      <c r="E320" s="150" t="n"/>
      <c r="F320" s="150" t="n"/>
      <c r="G320" s="152" t="n"/>
      <c r="H320" s="152" t="n"/>
      <c r="I320" s="152">
        <f>IF(AND(G320&lt;&gt;"",H320&lt;&gt;""),G320-H320,"")</f>
        <v/>
      </c>
      <c r="J320" s="150" t="n"/>
      <c r="K320" s="150" t="n"/>
      <c r="L320" s="150" t="n"/>
      <c r="M320" s="150" t="n"/>
    </row>
    <row r="321">
      <c r="A321" s="153">
        <f>IF(B321&lt;&gt;"",ROW()-3,"")</f>
        <v/>
      </c>
      <c r="B321" s="153" t="n"/>
      <c r="C321" s="154" t="n"/>
      <c r="D321" s="154" t="n"/>
      <c r="E321" s="153" t="n"/>
      <c r="F321" s="153" t="n"/>
      <c r="G321" s="155" t="n"/>
      <c r="H321" s="155" t="n"/>
      <c r="I321" s="155">
        <f>IF(AND(G321&lt;&gt;"",H321&lt;&gt;""),G321-H321,"")</f>
        <v/>
      </c>
      <c r="J321" s="153" t="n"/>
      <c r="K321" s="153" t="n"/>
      <c r="L321" s="153" t="n"/>
      <c r="M321" s="153" t="n"/>
    </row>
    <row r="322">
      <c r="A322" s="150">
        <f>IF(B322&lt;&gt;"",ROW()-3,"")</f>
        <v/>
      </c>
      <c r="B322" s="150" t="n"/>
      <c r="C322" s="151" t="n"/>
      <c r="D322" s="151" t="n"/>
      <c r="E322" s="150" t="n"/>
      <c r="F322" s="150" t="n"/>
      <c r="G322" s="152" t="n"/>
      <c r="H322" s="152" t="n"/>
      <c r="I322" s="152">
        <f>IF(AND(G322&lt;&gt;"",H322&lt;&gt;""),G322-H322,"")</f>
        <v/>
      </c>
      <c r="J322" s="150" t="n"/>
      <c r="K322" s="150" t="n"/>
      <c r="L322" s="150" t="n"/>
      <c r="M322" s="150" t="n"/>
    </row>
    <row r="323">
      <c r="A323" s="153">
        <f>IF(B323&lt;&gt;"",ROW()-3,"")</f>
        <v/>
      </c>
      <c r="B323" s="153" t="n"/>
      <c r="C323" s="154" t="n"/>
      <c r="D323" s="154" t="n"/>
      <c r="E323" s="153" t="n"/>
      <c r="F323" s="153" t="n"/>
      <c r="G323" s="155" t="n"/>
      <c r="H323" s="155" t="n"/>
      <c r="I323" s="155">
        <f>IF(AND(G323&lt;&gt;"",H323&lt;&gt;""),G323-H323,"")</f>
        <v/>
      </c>
      <c r="J323" s="153" t="n"/>
      <c r="K323" s="153" t="n"/>
      <c r="L323" s="153" t="n"/>
      <c r="M323" s="153" t="n"/>
    </row>
    <row r="324">
      <c r="A324" s="150">
        <f>IF(B324&lt;&gt;"",ROW()-3,"")</f>
        <v/>
      </c>
      <c r="B324" s="150" t="n"/>
      <c r="C324" s="151" t="n"/>
      <c r="D324" s="151" t="n"/>
      <c r="E324" s="150" t="n"/>
      <c r="F324" s="150" t="n"/>
      <c r="G324" s="152" t="n"/>
      <c r="H324" s="152" t="n"/>
      <c r="I324" s="152">
        <f>IF(AND(G324&lt;&gt;"",H324&lt;&gt;""),G324-H324,"")</f>
        <v/>
      </c>
      <c r="J324" s="150" t="n"/>
      <c r="K324" s="150" t="n"/>
      <c r="L324" s="150" t="n"/>
      <c r="M324" s="150" t="n"/>
    </row>
    <row r="325">
      <c r="A325" s="153">
        <f>IF(B325&lt;&gt;"",ROW()-3,"")</f>
        <v/>
      </c>
      <c r="B325" s="153" t="n"/>
      <c r="C325" s="154" t="n"/>
      <c r="D325" s="154" t="n"/>
      <c r="E325" s="153" t="n"/>
      <c r="F325" s="153" t="n"/>
      <c r="G325" s="155" t="n"/>
      <c r="H325" s="155" t="n"/>
      <c r="I325" s="155">
        <f>IF(AND(G325&lt;&gt;"",H325&lt;&gt;""),G325-H325,"")</f>
        <v/>
      </c>
      <c r="J325" s="153" t="n"/>
      <c r="K325" s="153" t="n"/>
      <c r="L325" s="153" t="n"/>
      <c r="M325" s="153" t="n"/>
    </row>
    <row r="326">
      <c r="A326" s="150">
        <f>IF(B326&lt;&gt;"",ROW()-3,"")</f>
        <v/>
      </c>
      <c r="B326" s="150" t="n"/>
      <c r="C326" s="151" t="n"/>
      <c r="D326" s="151" t="n"/>
      <c r="E326" s="150" t="n"/>
      <c r="F326" s="150" t="n"/>
      <c r="G326" s="152" t="n"/>
      <c r="H326" s="152" t="n"/>
      <c r="I326" s="152">
        <f>IF(AND(G326&lt;&gt;"",H326&lt;&gt;""),G326-H326,"")</f>
        <v/>
      </c>
      <c r="J326" s="150" t="n"/>
      <c r="K326" s="150" t="n"/>
      <c r="L326" s="150" t="n"/>
      <c r="M326" s="150" t="n"/>
    </row>
    <row r="327">
      <c r="A327" s="153">
        <f>IF(B327&lt;&gt;"",ROW()-3,"")</f>
        <v/>
      </c>
      <c r="B327" s="153" t="n"/>
      <c r="C327" s="154" t="n"/>
      <c r="D327" s="154" t="n"/>
      <c r="E327" s="153" t="n"/>
      <c r="F327" s="153" t="n"/>
      <c r="G327" s="155" t="n"/>
      <c r="H327" s="155" t="n"/>
      <c r="I327" s="155">
        <f>IF(AND(G327&lt;&gt;"",H327&lt;&gt;""),G327-H327,"")</f>
        <v/>
      </c>
      <c r="J327" s="153" t="n"/>
      <c r="K327" s="153" t="n"/>
      <c r="L327" s="153" t="n"/>
      <c r="M327" s="153" t="n"/>
    </row>
    <row r="328">
      <c r="A328" s="150">
        <f>IF(B328&lt;&gt;"",ROW()-3,"")</f>
        <v/>
      </c>
      <c r="B328" s="150" t="n"/>
      <c r="C328" s="151" t="n"/>
      <c r="D328" s="151" t="n"/>
      <c r="E328" s="150" t="n"/>
      <c r="F328" s="150" t="n"/>
      <c r="G328" s="152" t="n"/>
      <c r="H328" s="152" t="n"/>
      <c r="I328" s="152">
        <f>IF(AND(G328&lt;&gt;"",H328&lt;&gt;""),G328-H328,"")</f>
        <v/>
      </c>
      <c r="J328" s="150" t="n"/>
      <c r="K328" s="150" t="n"/>
      <c r="L328" s="150" t="n"/>
      <c r="M328" s="150" t="n"/>
    </row>
    <row r="329">
      <c r="A329" s="153">
        <f>IF(B329&lt;&gt;"",ROW()-3,"")</f>
        <v/>
      </c>
      <c r="B329" s="153" t="n"/>
      <c r="C329" s="154" t="n"/>
      <c r="D329" s="154" t="n"/>
      <c r="E329" s="153" t="n"/>
      <c r="F329" s="153" t="n"/>
      <c r="G329" s="155" t="n"/>
      <c r="H329" s="155" t="n"/>
      <c r="I329" s="155">
        <f>IF(AND(G329&lt;&gt;"",H329&lt;&gt;""),G329-H329,"")</f>
        <v/>
      </c>
      <c r="J329" s="153" t="n"/>
      <c r="K329" s="153" t="n"/>
      <c r="L329" s="153" t="n"/>
      <c r="M329" s="153" t="n"/>
    </row>
    <row r="330">
      <c r="A330" s="150">
        <f>IF(B330&lt;&gt;"",ROW()-3,"")</f>
        <v/>
      </c>
      <c r="B330" s="150" t="n"/>
      <c r="C330" s="151" t="n"/>
      <c r="D330" s="151" t="n"/>
      <c r="E330" s="150" t="n"/>
      <c r="F330" s="150" t="n"/>
      <c r="G330" s="152" t="n"/>
      <c r="H330" s="152" t="n"/>
      <c r="I330" s="152">
        <f>IF(AND(G330&lt;&gt;"",H330&lt;&gt;""),G330-H330,"")</f>
        <v/>
      </c>
      <c r="J330" s="150" t="n"/>
      <c r="K330" s="150" t="n"/>
      <c r="L330" s="150" t="n"/>
      <c r="M330" s="150" t="n"/>
    </row>
    <row r="331">
      <c r="A331" s="153">
        <f>IF(B331&lt;&gt;"",ROW()-3,"")</f>
        <v/>
      </c>
      <c r="B331" s="153" t="n"/>
      <c r="C331" s="154" t="n"/>
      <c r="D331" s="154" t="n"/>
      <c r="E331" s="153" t="n"/>
      <c r="F331" s="153" t="n"/>
      <c r="G331" s="155" t="n"/>
      <c r="H331" s="155" t="n"/>
      <c r="I331" s="155">
        <f>IF(AND(G331&lt;&gt;"",H331&lt;&gt;""),G331-H331,"")</f>
        <v/>
      </c>
      <c r="J331" s="153" t="n"/>
      <c r="K331" s="153" t="n"/>
      <c r="L331" s="153" t="n"/>
      <c r="M331" s="153" t="n"/>
    </row>
    <row r="332">
      <c r="A332" s="150">
        <f>IF(B332&lt;&gt;"",ROW()-3,"")</f>
        <v/>
      </c>
      <c r="B332" s="150" t="n"/>
      <c r="C332" s="151" t="n"/>
      <c r="D332" s="151" t="n"/>
      <c r="E332" s="150" t="n"/>
      <c r="F332" s="150" t="n"/>
      <c r="G332" s="152" t="n"/>
      <c r="H332" s="152" t="n"/>
      <c r="I332" s="152">
        <f>IF(AND(G332&lt;&gt;"",H332&lt;&gt;""),G332-H332,"")</f>
        <v/>
      </c>
      <c r="J332" s="150" t="n"/>
      <c r="K332" s="150" t="n"/>
      <c r="L332" s="150" t="n"/>
      <c r="M332" s="150" t="n"/>
    </row>
    <row r="333">
      <c r="A333" s="153">
        <f>IF(B333&lt;&gt;"",ROW()-3,"")</f>
        <v/>
      </c>
      <c r="B333" s="153" t="n"/>
      <c r="C333" s="154" t="n"/>
      <c r="D333" s="154" t="n"/>
      <c r="E333" s="153" t="n"/>
      <c r="F333" s="153" t="n"/>
      <c r="G333" s="155" t="n"/>
      <c r="H333" s="155" t="n"/>
      <c r="I333" s="155">
        <f>IF(AND(G333&lt;&gt;"",H333&lt;&gt;""),G333-H333,"")</f>
        <v/>
      </c>
      <c r="J333" s="153" t="n"/>
      <c r="K333" s="153" t="n"/>
      <c r="L333" s="153" t="n"/>
      <c r="M333" s="153" t="n"/>
    </row>
    <row r="334">
      <c r="A334" s="150">
        <f>IF(B334&lt;&gt;"",ROW()-3,"")</f>
        <v/>
      </c>
      <c r="B334" s="150" t="n"/>
      <c r="C334" s="151" t="n"/>
      <c r="D334" s="151" t="n"/>
      <c r="E334" s="150" t="n"/>
      <c r="F334" s="150" t="n"/>
      <c r="G334" s="152" t="n"/>
      <c r="H334" s="152" t="n"/>
      <c r="I334" s="152">
        <f>IF(AND(G334&lt;&gt;"",H334&lt;&gt;""),G334-H334,"")</f>
        <v/>
      </c>
      <c r="J334" s="150" t="n"/>
      <c r="K334" s="150" t="n"/>
      <c r="L334" s="150" t="n"/>
      <c r="M334" s="150" t="n"/>
    </row>
    <row r="335">
      <c r="A335" s="153">
        <f>IF(B335&lt;&gt;"",ROW()-3,"")</f>
        <v/>
      </c>
      <c r="B335" s="153" t="n"/>
      <c r="C335" s="154" t="n"/>
      <c r="D335" s="154" t="n"/>
      <c r="E335" s="153" t="n"/>
      <c r="F335" s="153" t="n"/>
      <c r="G335" s="155" t="n"/>
      <c r="H335" s="155" t="n"/>
      <c r="I335" s="155">
        <f>IF(AND(G335&lt;&gt;"",H335&lt;&gt;""),G335-H335,"")</f>
        <v/>
      </c>
      <c r="J335" s="153" t="n"/>
      <c r="K335" s="153" t="n"/>
      <c r="L335" s="153" t="n"/>
      <c r="M335" s="153" t="n"/>
    </row>
    <row r="336">
      <c r="A336" s="150">
        <f>IF(B336&lt;&gt;"",ROW()-3,"")</f>
        <v/>
      </c>
      <c r="B336" s="150" t="n"/>
      <c r="C336" s="151" t="n"/>
      <c r="D336" s="151" t="n"/>
      <c r="E336" s="150" t="n"/>
      <c r="F336" s="150" t="n"/>
      <c r="G336" s="152" t="n"/>
      <c r="H336" s="152" t="n"/>
      <c r="I336" s="152">
        <f>IF(AND(G336&lt;&gt;"",H336&lt;&gt;""),G336-H336,"")</f>
        <v/>
      </c>
      <c r="J336" s="150" t="n"/>
      <c r="K336" s="150" t="n"/>
      <c r="L336" s="150" t="n"/>
      <c r="M336" s="150" t="n"/>
    </row>
    <row r="337">
      <c r="A337" s="153">
        <f>IF(B337&lt;&gt;"",ROW()-3,"")</f>
        <v/>
      </c>
      <c r="B337" s="153" t="n"/>
      <c r="C337" s="154" t="n"/>
      <c r="D337" s="154" t="n"/>
      <c r="E337" s="153" t="n"/>
      <c r="F337" s="153" t="n"/>
      <c r="G337" s="155" t="n"/>
      <c r="H337" s="155" t="n"/>
      <c r="I337" s="155">
        <f>IF(AND(G337&lt;&gt;"",H337&lt;&gt;""),G337-H337,"")</f>
        <v/>
      </c>
      <c r="J337" s="153" t="n"/>
      <c r="K337" s="153" t="n"/>
      <c r="L337" s="153" t="n"/>
      <c r="M337" s="153" t="n"/>
    </row>
    <row r="338">
      <c r="A338" s="150">
        <f>IF(B338&lt;&gt;"",ROW()-3,"")</f>
        <v/>
      </c>
      <c r="B338" s="150" t="n"/>
      <c r="C338" s="151" t="n"/>
      <c r="D338" s="151" t="n"/>
      <c r="E338" s="150" t="n"/>
      <c r="F338" s="150" t="n"/>
      <c r="G338" s="152" t="n"/>
      <c r="H338" s="152" t="n"/>
      <c r="I338" s="152">
        <f>IF(AND(G338&lt;&gt;"",H338&lt;&gt;""),G338-H338,"")</f>
        <v/>
      </c>
      <c r="J338" s="150" t="n"/>
      <c r="K338" s="150" t="n"/>
      <c r="L338" s="150" t="n"/>
      <c r="M338" s="150" t="n"/>
    </row>
    <row r="339">
      <c r="A339" s="153">
        <f>IF(B339&lt;&gt;"",ROW()-3,"")</f>
        <v/>
      </c>
      <c r="B339" s="153" t="n"/>
      <c r="C339" s="154" t="n"/>
      <c r="D339" s="154" t="n"/>
      <c r="E339" s="153" t="n"/>
      <c r="F339" s="153" t="n"/>
      <c r="G339" s="155" t="n"/>
      <c r="H339" s="155" t="n"/>
      <c r="I339" s="155">
        <f>IF(AND(G339&lt;&gt;"",H339&lt;&gt;""),G339-H339,"")</f>
        <v/>
      </c>
      <c r="J339" s="153" t="n"/>
      <c r="K339" s="153" t="n"/>
      <c r="L339" s="153" t="n"/>
      <c r="M339" s="153" t="n"/>
    </row>
    <row r="340">
      <c r="A340" s="150">
        <f>IF(B340&lt;&gt;"",ROW()-3,"")</f>
        <v/>
      </c>
      <c r="B340" s="150" t="n"/>
      <c r="C340" s="151" t="n"/>
      <c r="D340" s="151" t="n"/>
      <c r="E340" s="150" t="n"/>
      <c r="F340" s="150" t="n"/>
      <c r="G340" s="152" t="n"/>
      <c r="H340" s="152" t="n"/>
      <c r="I340" s="152">
        <f>IF(AND(G340&lt;&gt;"",H340&lt;&gt;""),G340-H340,"")</f>
        <v/>
      </c>
      <c r="J340" s="150" t="n"/>
      <c r="K340" s="150" t="n"/>
      <c r="L340" s="150" t="n"/>
      <c r="M340" s="150" t="n"/>
    </row>
    <row r="341">
      <c r="A341" s="153">
        <f>IF(B341&lt;&gt;"",ROW()-3,"")</f>
        <v/>
      </c>
      <c r="B341" s="153" t="n"/>
      <c r="C341" s="154" t="n"/>
      <c r="D341" s="154" t="n"/>
      <c r="E341" s="153" t="n"/>
      <c r="F341" s="153" t="n"/>
      <c r="G341" s="155" t="n"/>
      <c r="H341" s="155" t="n"/>
      <c r="I341" s="155">
        <f>IF(AND(G341&lt;&gt;"",H341&lt;&gt;""),G341-H341,"")</f>
        <v/>
      </c>
      <c r="J341" s="153" t="n"/>
      <c r="K341" s="153" t="n"/>
      <c r="L341" s="153" t="n"/>
      <c r="M341" s="153" t="n"/>
    </row>
    <row r="342">
      <c r="A342" s="150">
        <f>IF(B342&lt;&gt;"",ROW()-3,"")</f>
        <v/>
      </c>
      <c r="B342" s="150" t="n"/>
      <c r="C342" s="151" t="n"/>
      <c r="D342" s="151" t="n"/>
      <c r="E342" s="150" t="n"/>
      <c r="F342" s="150" t="n"/>
      <c r="G342" s="152" t="n"/>
      <c r="H342" s="152" t="n"/>
      <c r="I342" s="152">
        <f>IF(AND(G342&lt;&gt;"",H342&lt;&gt;""),G342-H342,"")</f>
        <v/>
      </c>
      <c r="J342" s="150" t="n"/>
      <c r="K342" s="150" t="n"/>
      <c r="L342" s="150" t="n"/>
      <c r="M342" s="150" t="n"/>
    </row>
    <row r="343">
      <c r="A343" s="153">
        <f>IF(B343&lt;&gt;"",ROW()-3,"")</f>
        <v/>
      </c>
      <c r="B343" s="153" t="n"/>
      <c r="C343" s="154" t="n"/>
      <c r="D343" s="154" t="n"/>
      <c r="E343" s="153" t="n"/>
      <c r="F343" s="153" t="n"/>
      <c r="G343" s="155" t="n"/>
      <c r="H343" s="155" t="n"/>
      <c r="I343" s="155">
        <f>IF(AND(G343&lt;&gt;"",H343&lt;&gt;""),G343-H343,"")</f>
        <v/>
      </c>
      <c r="J343" s="153" t="n"/>
      <c r="K343" s="153" t="n"/>
      <c r="L343" s="153" t="n"/>
      <c r="M343" s="153" t="n"/>
    </row>
    <row r="344">
      <c r="A344" s="150">
        <f>IF(B344&lt;&gt;"",ROW()-3,"")</f>
        <v/>
      </c>
      <c r="B344" s="150" t="n"/>
      <c r="C344" s="151" t="n"/>
      <c r="D344" s="151" t="n"/>
      <c r="E344" s="150" t="n"/>
      <c r="F344" s="150" t="n"/>
      <c r="G344" s="152" t="n"/>
      <c r="H344" s="152" t="n"/>
      <c r="I344" s="152">
        <f>IF(AND(G344&lt;&gt;"",H344&lt;&gt;""),G344-H344,"")</f>
        <v/>
      </c>
      <c r="J344" s="150" t="n"/>
      <c r="K344" s="150" t="n"/>
      <c r="L344" s="150" t="n"/>
      <c r="M344" s="150" t="n"/>
    </row>
    <row r="345">
      <c r="A345" s="153">
        <f>IF(B345&lt;&gt;"",ROW()-3,"")</f>
        <v/>
      </c>
      <c r="B345" s="153" t="n"/>
      <c r="C345" s="154" t="n"/>
      <c r="D345" s="154" t="n"/>
      <c r="E345" s="153" t="n"/>
      <c r="F345" s="153" t="n"/>
      <c r="G345" s="155" t="n"/>
      <c r="H345" s="155" t="n"/>
      <c r="I345" s="155">
        <f>IF(AND(G345&lt;&gt;"",H345&lt;&gt;""),G345-H345,"")</f>
        <v/>
      </c>
      <c r="J345" s="153" t="n"/>
      <c r="K345" s="153" t="n"/>
      <c r="L345" s="153" t="n"/>
      <c r="M345" s="153" t="n"/>
    </row>
    <row r="346">
      <c r="A346" s="150">
        <f>IF(B346&lt;&gt;"",ROW()-3,"")</f>
        <v/>
      </c>
      <c r="B346" s="150" t="n"/>
      <c r="C346" s="151" t="n"/>
      <c r="D346" s="151" t="n"/>
      <c r="E346" s="150" t="n"/>
      <c r="F346" s="150" t="n"/>
      <c r="G346" s="152" t="n"/>
      <c r="H346" s="152" t="n"/>
      <c r="I346" s="152">
        <f>IF(AND(G346&lt;&gt;"",H346&lt;&gt;""),G346-H346,"")</f>
        <v/>
      </c>
      <c r="J346" s="150" t="n"/>
      <c r="K346" s="150" t="n"/>
      <c r="L346" s="150" t="n"/>
      <c r="M346" s="150" t="n"/>
    </row>
    <row r="347">
      <c r="A347" s="153">
        <f>IF(B347&lt;&gt;"",ROW()-3,"")</f>
        <v/>
      </c>
      <c r="B347" s="153" t="n"/>
      <c r="C347" s="154" t="n"/>
      <c r="D347" s="154" t="n"/>
      <c r="E347" s="153" t="n"/>
      <c r="F347" s="153" t="n"/>
      <c r="G347" s="155" t="n"/>
      <c r="H347" s="155" t="n"/>
      <c r="I347" s="155">
        <f>IF(AND(G347&lt;&gt;"",H347&lt;&gt;""),G347-H347,"")</f>
        <v/>
      </c>
      <c r="J347" s="153" t="n"/>
      <c r="K347" s="153" t="n"/>
      <c r="L347" s="153" t="n"/>
      <c r="M347" s="153" t="n"/>
    </row>
    <row r="348">
      <c r="A348" s="150">
        <f>IF(B348&lt;&gt;"",ROW()-3,"")</f>
        <v/>
      </c>
      <c r="B348" s="150" t="n"/>
      <c r="C348" s="151" t="n"/>
      <c r="D348" s="151" t="n"/>
      <c r="E348" s="150" t="n"/>
      <c r="F348" s="150" t="n"/>
      <c r="G348" s="152" t="n"/>
      <c r="H348" s="152" t="n"/>
      <c r="I348" s="152">
        <f>IF(AND(G348&lt;&gt;"",H348&lt;&gt;""),G348-H348,"")</f>
        <v/>
      </c>
      <c r="J348" s="150" t="n"/>
      <c r="K348" s="150" t="n"/>
      <c r="L348" s="150" t="n"/>
      <c r="M348" s="150" t="n"/>
    </row>
    <row r="349">
      <c r="A349" s="153">
        <f>IF(B349&lt;&gt;"",ROW()-3,"")</f>
        <v/>
      </c>
      <c r="B349" s="153" t="n"/>
      <c r="C349" s="154" t="n"/>
      <c r="D349" s="154" t="n"/>
      <c r="E349" s="153" t="n"/>
      <c r="F349" s="153" t="n"/>
      <c r="G349" s="155" t="n"/>
      <c r="H349" s="155" t="n"/>
      <c r="I349" s="155">
        <f>IF(AND(G349&lt;&gt;"",H349&lt;&gt;""),G349-H349,"")</f>
        <v/>
      </c>
      <c r="J349" s="153" t="n"/>
      <c r="K349" s="153" t="n"/>
      <c r="L349" s="153" t="n"/>
      <c r="M349" s="153" t="n"/>
    </row>
    <row r="350">
      <c r="A350" s="150">
        <f>IF(B350&lt;&gt;"",ROW()-3,"")</f>
        <v/>
      </c>
      <c r="B350" s="150" t="n"/>
      <c r="C350" s="151" t="n"/>
      <c r="D350" s="151" t="n"/>
      <c r="E350" s="150" t="n"/>
      <c r="F350" s="150" t="n"/>
      <c r="G350" s="152" t="n"/>
      <c r="H350" s="152" t="n"/>
      <c r="I350" s="152">
        <f>IF(AND(G350&lt;&gt;"",H350&lt;&gt;""),G350-H350,"")</f>
        <v/>
      </c>
      <c r="J350" s="150" t="n"/>
      <c r="K350" s="150" t="n"/>
      <c r="L350" s="150" t="n"/>
      <c r="M350" s="150" t="n"/>
    </row>
    <row r="351">
      <c r="A351" s="153">
        <f>IF(B351&lt;&gt;"",ROW()-3,"")</f>
        <v/>
      </c>
      <c r="B351" s="153" t="n"/>
      <c r="C351" s="154" t="n"/>
      <c r="D351" s="154" t="n"/>
      <c r="E351" s="153" t="n"/>
      <c r="F351" s="153" t="n"/>
      <c r="G351" s="155" t="n"/>
      <c r="H351" s="155" t="n"/>
      <c r="I351" s="155">
        <f>IF(AND(G351&lt;&gt;"",H351&lt;&gt;""),G351-H351,"")</f>
        <v/>
      </c>
      <c r="J351" s="153" t="n"/>
      <c r="K351" s="153" t="n"/>
      <c r="L351" s="153" t="n"/>
      <c r="M351" s="153" t="n"/>
    </row>
    <row r="352">
      <c r="A352" s="150">
        <f>IF(B352&lt;&gt;"",ROW()-3,"")</f>
        <v/>
      </c>
      <c r="B352" s="150" t="n"/>
      <c r="C352" s="151" t="n"/>
      <c r="D352" s="151" t="n"/>
      <c r="E352" s="150" t="n"/>
      <c r="F352" s="150" t="n"/>
      <c r="G352" s="152" t="n"/>
      <c r="H352" s="152" t="n"/>
      <c r="I352" s="152">
        <f>IF(AND(G352&lt;&gt;"",H352&lt;&gt;""),G352-H352,"")</f>
        <v/>
      </c>
      <c r="J352" s="150" t="n"/>
      <c r="K352" s="150" t="n"/>
      <c r="L352" s="150" t="n"/>
      <c r="M352" s="150" t="n"/>
    </row>
    <row r="353">
      <c r="A353" s="153">
        <f>IF(B353&lt;&gt;"",ROW()-3,"")</f>
        <v/>
      </c>
      <c r="B353" s="153" t="n"/>
      <c r="C353" s="154" t="n"/>
      <c r="D353" s="154" t="n"/>
      <c r="E353" s="153" t="n"/>
      <c r="F353" s="153" t="n"/>
      <c r="G353" s="155" t="n"/>
      <c r="H353" s="155" t="n"/>
      <c r="I353" s="155">
        <f>IF(AND(G353&lt;&gt;"",H353&lt;&gt;""),G353-H353,"")</f>
        <v/>
      </c>
      <c r="J353" s="153" t="n"/>
      <c r="K353" s="153" t="n"/>
      <c r="L353" s="153" t="n"/>
      <c r="M353" s="153" t="n"/>
    </row>
    <row r="354">
      <c r="A354" s="150">
        <f>IF(B354&lt;&gt;"",ROW()-3,"")</f>
        <v/>
      </c>
      <c r="B354" s="150" t="n"/>
      <c r="C354" s="151" t="n"/>
      <c r="D354" s="151" t="n"/>
      <c r="E354" s="150" t="n"/>
      <c r="F354" s="150" t="n"/>
      <c r="G354" s="152" t="n"/>
      <c r="H354" s="152" t="n"/>
      <c r="I354" s="152">
        <f>IF(AND(G354&lt;&gt;"",H354&lt;&gt;""),G354-H354,"")</f>
        <v/>
      </c>
      <c r="J354" s="150" t="n"/>
      <c r="K354" s="150" t="n"/>
      <c r="L354" s="150" t="n"/>
      <c r="M354" s="150" t="n"/>
    </row>
    <row r="355">
      <c r="A355" s="153">
        <f>IF(B355&lt;&gt;"",ROW()-3,"")</f>
        <v/>
      </c>
      <c r="B355" s="153" t="n"/>
      <c r="C355" s="154" t="n"/>
      <c r="D355" s="154" t="n"/>
      <c r="E355" s="153" t="n"/>
      <c r="F355" s="153" t="n"/>
      <c r="G355" s="155" t="n"/>
      <c r="H355" s="155" t="n"/>
      <c r="I355" s="155">
        <f>IF(AND(G355&lt;&gt;"",H355&lt;&gt;""),G355-H355,"")</f>
        <v/>
      </c>
      <c r="J355" s="153" t="n"/>
      <c r="K355" s="153" t="n"/>
      <c r="L355" s="153" t="n"/>
      <c r="M355" s="153" t="n"/>
    </row>
    <row r="356">
      <c r="A356" s="150">
        <f>IF(B356&lt;&gt;"",ROW()-3,"")</f>
        <v/>
      </c>
      <c r="B356" s="150" t="n"/>
      <c r="C356" s="151" t="n"/>
      <c r="D356" s="151" t="n"/>
      <c r="E356" s="150" t="n"/>
      <c r="F356" s="150" t="n"/>
      <c r="G356" s="152" t="n"/>
      <c r="H356" s="152" t="n"/>
      <c r="I356" s="152">
        <f>IF(AND(G356&lt;&gt;"",H356&lt;&gt;""),G356-H356,"")</f>
        <v/>
      </c>
      <c r="J356" s="150" t="n"/>
      <c r="K356" s="150" t="n"/>
      <c r="L356" s="150" t="n"/>
      <c r="M356" s="150" t="n"/>
    </row>
    <row r="357">
      <c r="A357" s="153">
        <f>IF(B357&lt;&gt;"",ROW()-3,"")</f>
        <v/>
      </c>
      <c r="B357" s="153" t="n"/>
      <c r="C357" s="154" t="n"/>
      <c r="D357" s="154" t="n"/>
      <c r="E357" s="153" t="n"/>
      <c r="F357" s="153" t="n"/>
      <c r="G357" s="155" t="n"/>
      <c r="H357" s="155" t="n"/>
      <c r="I357" s="155">
        <f>IF(AND(G357&lt;&gt;"",H357&lt;&gt;""),G357-H357,"")</f>
        <v/>
      </c>
      <c r="J357" s="153" t="n"/>
      <c r="K357" s="153" t="n"/>
      <c r="L357" s="153" t="n"/>
      <c r="M357" s="153" t="n"/>
    </row>
    <row r="358">
      <c r="A358" s="150">
        <f>IF(B358&lt;&gt;"",ROW()-3,"")</f>
        <v/>
      </c>
      <c r="B358" s="150" t="n"/>
      <c r="C358" s="151" t="n"/>
      <c r="D358" s="151" t="n"/>
      <c r="E358" s="150" t="n"/>
      <c r="F358" s="150" t="n"/>
      <c r="G358" s="152" t="n"/>
      <c r="H358" s="152" t="n"/>
      <c r="I358" s="152">
        <f>IF(AND(G358&lt;&gt;"",H358&lt;&gt;""),G358-H358,"")</f>
        <v/>
      </c>
      <c r="J358" s="150" t="n"/>
      <c r="K358" s="150" t="n"/>
      <c r="L358" s="150" t="n"/>
      <c r="M358" s="150" t="n"/>
    </row>
    <row r="359">
      <c r="A359" s="153">
        <f>IF(B359&lt;&gt;"",ROW()-3,"")</f>
        <v/>
      </c>
      <c r="B359" s="153" t="n"/>
      <c r="C359" s="154" t="n"/>
      <c r="D359" s="154" t="n"/>
      <c r="E359" s="153" t="n"/>
      <c r="F359" s="153" t="n"/>
      <c r="G359" s="155" t="n"/>
      <c r="H359" s="155" t="n"/>
      <c r="I359" s="155">
        <f>IF(AND(G359&lt;&gt;"",H359&lt;&gt;""),G359-H359,"")</f>
        <v/>
      </c>
      <c r="J359" s="153" t="n"/>
      <c r="K359" s="153" t="n"/>
      <c r="L359" s="153" t="n"/>
      <c r="M359" s="153" t="n"/>
    </row>
    <row r="360">
      <c r="A360" s="150">
        <f>IF(B360&lt;&gt;"",ROW()-3,"")</f>
        <v/>
      </c>
      <c r="B360" s="150" t="n"/>
      <c r="C360" s="151" t="n"/>
      <c r="D360" s="151" t="n"/>
      <c r="E360" s="150" t="n"/>
      <c r="F360" s="150" t="n"/>
      <c r="G360" s="152" t="n"/>
      <c r="H360" s="152" t="n"/>
      <c r="I360" s="152">
        <f>IF(AND(G360&lt;&gt;"",H360&lt;&gt;""),G360-H360,"")</f>
        <v/>
      </c>
      <c r="J360" s="150" t="n"/>
      <c r="K360" s="150" t="n"/>
      <c r="L360" s="150" t="n"/>
      <c r="M360" s="150" t="n"/>
    </row>
    <row r="361">
      <c r="A361" s="153">
        <f>IF(B361&lt;&gt;"",ROW()-3,"")</f>
        <v/>
      </c>
      <c r="B361" s="153" t="n"/>
      <c r="C361" s="154" t="n"/>
      <c r="D361" s="154" t="n"/>
      <c r="E361" s="153" t="n"/>
      <c r="F361" s="153" t="n"/>
      <c r="G361" s="155" t="n"/>
      <c r="H361" s="155" t="n"/>
      <c r="I361" s="155">
        <f>IF(AND(G361&lt;&gt;"",H361&lt;&gt;""),G361-H361,"")</f>
        <v/>
      </c>
      <c r="J361" s="153" t="n"/>
      <c r="K361" s="153" t="n"/>
      <c r="L361" s="153" t="n"/>
      <c r="M361" s="153" t="n"/>
    </row>
    <row r="362">
      <c r="A362" s="150">
        <f>IF(B362&lt;&gt;"",ROW()-3,"")</f>
        <v/>
      </c>
      <c r="B362" s="150" t="n"/>
      <c r="C362" s="151" t="n"/>
      <c r="D362" s="151" t="n"/>
      <c r="E362" s="150" t="n"/>
      <c r="F362" s="150" t="n"/>
      <c r="G362" s="152" t="n"/>
      <c r="H362" s="152" t="n"/>
      <c r="I362" s="152">
        <f>IF(AND(G362&lt;&gt;"",H362&lt;&gt;""),G362-H362,"")</f>
        <v/>
      </c>
      <c r="J362" s="150" t="n"/>
      <c r="K362" s="150" t="n"/>
      <c r="L362" s="150" t="n"/>
      <c r="M362" s="150" t="n"/>
    </row>
    <row r="363">
      <c r="A363" s="153">
        <f>IF(B363&lt;&gt;"",ROW()-3,"")</f>
        <v/>
      </c>
      <c r="B363" s="153" t="n"/>
      <c r="C363" s="154" t="n"/>
      <c r="D363" s="154" t="n"/>
      <c r="E363" s="153" t="n"/>
      <c r="F363" s="153" t="n"/>
      <c r="G363" s="155" t="n"/>
      <c r="H363" s="155" t="n"/>
      <c r="I363" s="155">
        <f>IF(AND(G363&lt;&gt;"",H363&lt;&gt;""),G363-H363,"")</f>
        <v/>
      </c>
      <c r="J363" s="153" t="n"/>
      <c r="K363" s="153" t="n"/>
      <c r="L363" s="153" t="n"/>
      <c r="M363" s="153" t="n"/>
    </row>
    <row r="364">
      <c r="A364" s="150">
        <f>IF(B364&lt;&gt;"",ROW()-3,"")</f>
        <v/>
      </c>
      <c r="B364" s="150" t="n"/>
      <c r="C364" s="151" t="n"/>
      <c r="D364" s="151" t="n"/>
      <c r="E364" s="150" t="n"/>
      <c r="F364" s="150" t="n"/>
      <c r="G364" s="152" t="n"/>
      <c r="H364" s="152" t="n"/>
      <c r="I364" s="152">
        <f>IF(AND(G364&lt;&gt;"",H364&lt;&gt;""),G364-H364,"")</f>
        <v/>
      </c>
      <c r="J364" s="150" t="n"/>
      <c r="K364" s="150" t="n"/>
      <c r="L364" s="150" t="n"/>
      <c r="M364" s="150" t="n"/>
    </row>
    <row r="365">
      <c r="A365" s="153">
        <f>IF(B365&lt;&gt;"",ROW()-3,"")</f>
        <v/>
      </c>
      <c r="B365" s="153" t="n"/>
      <c r="C365" s="154" t="n"/>
      <c r="D365" s="154" t="n"/>
      <c r="E365" s="153" t="n"/>
      <c r="F365" s="153" t="n"/>
      <c r="G365" s="155" t="n"/>
      <c r="H365" s="155" t="n"/>
      <c r="I365" s="155">
        <f>IF(AND(G365&lt;&gt;"",H365&lt;&gt;""),G365-H365,"")</f>
        <v/>
      </c>
      <c r="J365" s="153" t="n"/>
      <c r="K365" s="153" t="n"/>
      <c r="L365" s="153" t="n"/>
      <c r="M365" s="153" t="n"/>
    </row>
    <row r="366">
      <c r="A366" s="150">
        <f>IF(B366&lt;&gt;"",ROW()-3,"")</f>
        <v/>
      </c>
      <c r="B366" s="150" t="n"/>
      <c r="C366" s="151" t="n"/>
      <c r="D366" s="151" t="n"/>
      <c r="E366" s="150" t="n"/>
      <c r="F366" s="150" t="n"/>
      <c r="G366" s="152" t="n"/>
      <c r="H366" s="152" t="n"/>
      <c r="I366" s="152">
        <f>IF(AND(G366&lt;&gt;"",H366&lt;&gt;""),G366-H366,"")</f>
        <v/>
      </c>
      <c r="J366" s="150" t="n"/>
      <c r="K366" s="150" t="n"/>
      <c r="L366" s="150" t="n"/>
      <c r="M366" s="150" t="n"/>
    </row>
    <row r="367">
      <c r="A367" s="153">
        <f>IF(B367&lt;&gt;"",ROW()-3,"")</f>
        <v/>
      </c>
      <c r="B367" s="153" t="n"/>
      <c r="C367" s="154" t="n"/>
      <c r="D367" s="154" t="n"/>
      <c r="E367" s="153" t="n"/>
      <c r="F367" s="153" t="n"/>
      <c r="G367" s="155" t="n"/>
      <c r="H367" s="155" t="n"/>
      <c r="I367" s="155">
        <f>IF(AND(G367&lt;&gt;"",H367&lt;&gt;""),G367-H367,"")</f>
        <v/>
      </c>
      <c r="J367" s="153" t="n"/>
      <c r="K367" s="153" t="n"/>
      <c r="L367" s="153" t="n"/>
      <c r="M367" s="153" t="n"/>
    </row>
    <row r="368">
      <c r="A368" s="150">
        <f>IF(B368&lt;&gt;"",ROW()-3,"")</f>
        <v/>
      </c>
      <c r="B368" s="150" t="n"/>
      <c r="C368" s="151" t="n"/>
      <c r="D368" s="151" t="n"/>
      <c r="E368" s="150" t="n"/>
      <c r="F368" s="150" t="n"/>
      <c r="G368" s="152" t="n"/>
      <c r="H368" s="152" t="n"/>
      <c r="I368" s="152">
        <f>IF(AND(G368&lt;&gt;"",H368&lt;&gt;""),G368-H368,"")</f>
        <v/>
      </c>
      <c r="J368" s="150" t="n"/>
      <c r="K368" s="150" t="n"/>
      <c r="L368" s="150" t="n"/>
      <c r="M368" s="150" t="n"/>
    </row>
    <row r="369">
      <c r="A369" s="153">
        <f>IF(B369&lt;&gt;"",ROW()-3,"")</f>
        <v/>
      </c>
      <c r="B369" s="153" t="n"/>
      <c r="C369" s="154" t="n"/>
      <c r="D369" s="154" t="n"/>
      <c r="E369" s="153" t="n"/>
      <c r="F369" s="153" t="n"/>
      <c r="G369" s="155" t="n"/>
      <c r="H369" s="155" t="n"/>
      <c r="I369" s="155">
        <f>IF(AND(G369&lt;&gt;"",H369&lt;&gt;""),G369-H369,"")</f>
        <v/>
      </c>
      <c r="J369" s="153" t="n"/>
      <c r="K369" s="153" t="n"/>
      <c r="L369" s="153" t="n"/>
      <c r="M369" s="153" t="n"/>
    </row>
    <row r="370">
      <c r="A370" s="150">
        <f>IF(B370&lt;&gt;"",ROW()-3,"")</f>
        <v/>
      </c>
      <c r="B370" s="150" t="n"/>
      <c r="C370" s="151" t="n"/>
      <c r="D370" s="151" t="n"/>
      <c r="E370" s="150" t="n"/>
      <c r="F370" s="150" t="n"/>
      <c r="G370" s="152" t="n"/>
      <c r="H370" s="152" t="n"/>
      <c r="I370" s="152">
        <f>IF(AND(G370&lt;&gt;"",H370&lt;&gt;""),G370-H370,"")</f>
        <v/>
      </c>
      <c r="J370" s="150" t="n"/>
      <c r="K370" s="150" t="n"/>
      <c r="L370" s="150" t="n"/>
      <c r="M370" s="150" t="n"/>
    </row>
    <row r="371">
      <c r="A371" s="153">
        <f>IF(B371&lt;&gt;"",ROW()-3,"")</f>
        <v/>
      </c>
      <c r="B371" s="153" t="n"/>
      <c r="C371" s="154" t="n"/>
      <c r="D371" s="154" t="n"/>
      <c r="E371" s="153" t="n"/>
      <c r="F371" s="153" t="n"/>
      <c r="G371" s="155" t="n"/>
      <c r="H371" s="155" t="n"/>
      <c r="I371" s="155">
        <f>IF(AND(G371&lt;&gt;"",H371&lt;&gt;""),G371-H371,"")</f>
        <v/>
      </c>
      <c r="J371" s="153" t="n"/>
      <c r="K371" s="153" t="n"/>
      <c r="L371" s="153" t="n"/>
      <c r="M371" s="153" t="n"/>
    </row>
    <row r="372">
      <c r="A372" s="150">
        <f>IF(B372&lt;&gt;"",ROW()-3,"")</f>
        <v/>
      </c>
      <c r="B372" s="150" t="n"/>
      <c r="C372" s="151" t="n"/>
      <c r="D372" s="151" t="n"/>
      <c r="E372" s="150" t="n"/>
      <c r="F372" s="150" t="n"/>
      <c r="G372" s="152" t="n"/>
      <c r="H372" s="152" t="n"/>
      <c r="I372" s="152">
        <f>IF(AND(G372&lt;&gt;"",H372&lt;&gt;""),G372-H372,"")</f>
        <v/>
      </c>
      <c r="J372" s="150" t="n"/>
      <c r="K372" s="150" t="n"/>
      <c r="L372" s="150" t="n"/>
      <c r="M372" s="150" t="n"/>
    </row>
    <row r="373">
      <c r="A373" s="153">
        <f>IF(B373&lt;&gt;"",ROW()-3,"")</f>
        <v/>
      </c>
      <c r="B373" s="153" t="n"/>
      <c r="C373" s="154" t="n"/>
      <c r="D373" s="154" t="n"/>
      <c r="E373" s="153" t="n"/>
      <c r="F373" s="153" t="n"/>
      <c r="G373" s="155" t="n"/>
      <c r="H373" s="155" t="n"/>
      <c r="I373" s="155">
        <f>IF(AND(G373&lt;&gt;"",H373&lt;&gt;""),G373-H373,"")</f>
        <v/>
      </c>
      <c r="J373" s="153" t="n"/>
      <c r="K373" s="153" t="n"/>
      <c r="L373" s="153" t="n"/>
      <c r="M373" s="153" t="n"/>
    </row>
    <row r="374">
      <c r="A374" s="150">
        <f>IF(B374&lt;&gt;"",ROW()-3,"")</f>
        <v/>
      </c>
      <c r="B374" s="150" t="n"/>
      <c r="C374" s="151" t="n"/>
      <c r="D374" s="151" t="n"/>
      <c r="E374" s="150" t="n"/>
      <c r="F374" s="150" t="n"/>
      <c r="G374" s="152" t="n"/>
      <c r="H374" s="152" t="n"/>
      <c r="I374" s="152">
        <f>IF(AND(G374&lt;&gt;"",H374&lt;&gt;""),G374-H374,"")</f>
        <v/>
      </c>
      <c r="J374" s="150" t="n"/>
      <c r="K374" s="150" t="n"/>
      <c r="L374" s="150" t="n"/>
      <c r="M374" s="150" t="n"/>
    </row>
    <row r="375">
      <c r="A375" s="153">
        <f>IF(B375&lt;&gt;"",ROW()-3,"")</f>
        <v/>
      </c>
      <c r="B375" s="153" t="n"/>
      <c r="C375" s="154" t="n"/>
      <c r="D375" s="154" t="n"/>
      <c r="E375" s="153" t="n"/>
      <c r="F375" s="153" t="n"/>
      <c r="G375" s="155" t="n"/>
      <c r="H375" s="155" t="n"/>
      <c r="I375" s="155">
        <f>IF(AND(G375&lt;&gt;"",H375&lt;&gt;""),G375-H375,"")</f>
        <v/>
      </c>
      <c r="J375" s="153" t="n"/>
      <c r="K375" s="153" t="n"/>
      <c r="L375" s="153" t="n"/>
      <c r="M375" s="153" t="n"/>
    </row>
    <row r="376">
      <c r="A376" s="150">
        <f>IF(B376&lt;&gt;"",ROW()-3,"")</f>
        <v/>
      </c>
      <c r="B376" s="150" t="n"/>
      <c r="C376" s="151" t="n"/>
      <c r="D376" s="151" t="n"/>
      <c r="E376" s="150" t="n"/>
      <c r="F376" s="150" t="n"/>
      <c r="G376" s="152" t="n"/>
      <c r="H376" s="152" t="n"/>
      <c r="I376" s="152">
        <f>IF(AND(G376&lt;&gt;"",H376&lt;&gt;""),G376-H376,"")</f>
        <v/>
      </c>
      <c r="J376" s="150" t="n"/>
      <c r="K376" s="150" t="n"/>
      <c r="L376" s="150" t="n"/>
      <c r="M376" s="150" t="n"/>
    </row>
    <row r="377">
      <c r="A377" s="153">
        <f>IF(B377&lt;&gt;"",ROW()-3,"")</f>
        <v/>
      </c>
      <c r="B377" s="153" t="n"/>
      <c r="C377" s="154" t="n"/>
      <c r="D377" s="154" t="n"/>
      <c r="E377" s="153" t="n"/>
      <c r="F377" s="153" t="n"/>
      <c r="G377" s="155" t="n"/>
      <c r="H377" s="155" t="n"/>
      <c r="I377" s="155">
        <f>IF(AND(G377&lt;&gt;"",H377&lt;&gt;""),G377-H377,"")</f>
        <v/>
      </c>
      <c r="J377" s="153" t="n"/>
      <c r="K377" s="153" t="n"/>
      <c r="L377" s="153" t="n"/>
      <c r="M377" s="153" t="n"/>
    </row>
    <row r="378">
      <c r="A378" s="150">
        <f>IF(B378&lt;&gt;"",ROW()-3,"")</f>
        <v/>
      </c>
      <c r="B378" s="150" t="n"/>
      <c r="C378" s="151" t="n"/>
      <c r="D378" s="151" t="n"/>
      <c r="E378" s="150" t="n"/>
      <c r="F378" s="150" t="n"/>
      <c r="G378" s="152" t="n"/>
      <c r="H378" s="152" t="n"/>
      <c r="I378" s="152">
        <f>IF(AND(G378&lt;&gt;"",H378&lt;&gt;""),G378-H378,"")</f>
        <v/>
      </c>
      <c r="J378" s="150" t="n"/>
      <c r="K378" s="150" t="n"/>
      <c r="L378" s="150" t="n"/>
      <c r="M378" s="150" t="n"/>
    </row>
    <row r="379">
      <c r="A379" s="153">
        <f>IF(B379&lt;&gt;"",ROW()-3,"")</f>
        <v/>
      </c>
      <c r="B379" s="153" t="n"/>
      <c r="C379" s="154" t="n"/>
      <c r="D379" s="154" t="n"/>
      <c r="E379" s="153" t="n"/>
      <c r="F379" s="153" t="n"/>
      <c r="G379" s="155" t="n"/>
      <c r="H379" s="155" t="n"/>
      <c r="I379" s="155">
        <f>IF(AND(G379&lt;&gt;"",H379&lt;&gt;""),G379-H379,"")</f>
        <v/>
      </c>
      <c r="J379" s="153" t="n"/>
      <c r="K379" s="153" t="n"/>
      <c r="L379" s="153" t="n"/>
      <c r="M379" s="153" t="n"/>
    </row>
    <row r="380">
      <c r="A380" s="150">
        <f>IF(B380&lt;&gt;"",ROW()-3,"")</f>
        <v/>
      </c>
      <c r="B380" s="150" t="n"/>
      <c r="C380" s="151" t="n"/>
      <c r="D380" s="151" t="n"/>
      <c r="E380" s="150" t="n"/>
      <c r="F380" s="150" t="n"/>
      <c r="G380" s="152" t="n"/>
      <c r="H380" s="152" t="n"/>
      <c r="I380" s="152">
        <f>IF(AND(G380&lt;&gt;"",H380&lt;&gt;""),G380-H380,"")</f>
        <v/>
      </c>
      <c r="J380" s="150" t="n"/>
      <c r="K380" s="150" t="n"/>
      <c r="L380" s="150" t="n"/>
      <c r="M380" s="150" t="n"/>
    </row>
    <row r="381">
      <c r="A381" s="153">
        <f>IF(B381&lt;&gt;"",ROW()-3,"")</f>
        <v/>
      </c>
      <c r="B381" s="153" t="n"/>
      <c r="C381" s="154" t="n"/>
      <c r="D381" s="154" t="n"/>
      <c r="E381" s="153" t="n"/>
      <c r="F381" s="153" t="n"/>
      <c r="G381" s="155" t="n"/>
      <c r="H381" s="155" t="n"/>
      <c r="I381" s="155">
        <f>IF(AND(G381&lt;&gt;"",H381&lt;&gt;""),G381-H381,"")</f>
        <v/>
      </c>
      <c r="J381" s="153" t="n"/>
      <c r="K381" s="153" t="n"/>
      <c r="L381" s="153" t="n"/>
      <c r="M381" s="153" t="n"/>
    </row>
    <row r="382">
      <c r="A382" s="150">
        <f>IF(B382&lt;&gt;"",ROW()-3,"")</f>
        <v/>
      </c>
      <c r="B382" s="150" t="n"/>
      <c r="C382" s="151" t="n"/>
      <c r="D382" s="151" t="n"/>
      <c r="E382" s="150" t="n"/>
      <c r="F382" s="150" t="n"/>
      <c r="G382" s="152" t="n"/>
      <c r="H382" s="152" t="n"/>
      <c r="I382" s="152">
        <f>IF(AND(G382&lt;&gt;"",H382&lt;&gt;""),G382-H382,"")</f>
        <v/>
      </c>
      <c r="J382" s="150" t="n"/>
      <c r="K382" s="150" t="n"/>
      <c r="L382" s="150" t="n"/>
      <c r="M382" s="150" t="n"/>
    </row>
    <row r="383">
      <c r="A383" s="153">
        <f>IF(B383&lt;&gt;"",ROW()-3,"")</f>
        <v/>
      </c>
      <c r="B383" s="153" t="n"/>
      <c r="C383" s="154" t="n"/>
      <c r="D383" s="154" t="n"/>
      <c r="E383" s="153" t="n"/>
      <c r="F383" s="153" t="n"/>
      <c r="G383" s="155" t="n"/>
      <c r="H383" s="155" t="n"/>
      <c r="I383" s="155">
        <f>IF(AND(G383&lt;&gt;"",H383&lt;&gt;""),G383-H383,"")</f>
        <v/>
      </c>
      <c r="J383" s="153" t="n"/>
      <c r="K383" s="153" t="n"/>
      <c r="L383" s="153" t="n"/>
      <c r="M383" s="153" t="n"/>
    </row>
    <row r="384">
      <c r="A384" s="150">
        <f>IF(B384&lt;&gt;"",ROW()-3,"")</f>
        <v/>
      </c>
      <c r="B384" s="150" t="n"/>
      <c r="C384" s="151" t="n"/>
      <c r="D384" s="151" t="n"/>
      <c r="E384" s="150" t="n"/>
      <c r="F384" s="150" t="n"/>
      <c r="G384" s="152" t="n"/>
      <c r="H384" s="152" t="n"/>
      <c r="I384" s="152">
        <f>IF(AND(G384&lt;&gt;"",H384&lt;&gt;""),G384-H384,"")</f>
        <v/>
      </c>
      <c r="J384" s="150" t="n"/>
      <c r="K384" s="150" t="n"/>
      <c r="L384" s="150" t="n"/>
      <c r="M384" s="150" t="n"/>
    </row>
    <row r="385">
      <c r="A385" s="153">
        <f>IF(B385&lt;&gt;"",ROW()-3,"")</f>
        <v/>
      </c>
      <c r="B385" s="153" t="n"/>
      <c r="C385" s="154" t="n"/>
      <c r="D385" s="154" t="n"/>
      <c r="E385" s="153" t="n"/>
      <c r="F385" s="153" t="n"/>
      <c r="G385" s="155" t="n"/>
      <c r="H385" s="155" t="n"/>
      <c r="I385" s="155">
        <f>IF(AND(G385&lt;&gt;"",H385&lt;&gt;""),G385-H385,"")</f>
        <v/>
      </c>
      <c r="J385" s="153" t="n"/>
      <c r="K385" s="153" t="n"/>
      <c r="L385" s="153" t="n"/>
      <c r="M385" s="153" t="n"/>
    </row>
    <row r="386">
      <c r="A386" s="150">
        <f>IF(B386&lt;&gt;"",ROW()-3,"")</f>
        <v/>
      </c>
      <c r="B386" s="150" t="n"/>
      <c r="C386" s="151" t="n"/>
      <c r="D386" s="151" t="n"/>
      <c r="E386" s="150" t="n"/>
      <c r="F386" s="150" t="n"/>
      <c r="G386" s="152" t="n"/>
      <c r="H386" s="152" t="n"/>
      <c r="I386" s="152">
        <f>IF(AND(G386&lt;&gt;"",H386&lt;&gt;""),G386-H386,"")</f>
        <v/>
      </c>
      <c r="J386" s="150" t="n"/>
      <c r="K386" s="150" t="n"/>
      <c r="L386" s="150" t="n"/>
      <c r="M386" s="150" t="n"/>
    </row>
    <row r="387">
      <c r="A387" s="153">
        <f>IF(B387&lt;&gt;"",ROW()-3,"")</f>
        <v/>
      </c>
      <c r="B387" s="153" t="n"/>
      <c r="C387" s="154" t="n"/>
      <c r="D387" s="154" t="n"/>
      <c r="E387" s="153" t="n"/>
      <c r="F387" s="153" t="n"/>
      <c r="G387" s="155" t="n"/>
      <c r="H387" s="155" t="n"/>
      <c r="I387" s="155">
        <f>IF(AND(G387&lt;&gt;"",H387&lt;&gt;""),G387-H387,"")</f>
        <v/>
      </c>
      <c r="J387" s="153" t="n"/>
      <c r="K387" s="153" t="n"/>
      <c r="L387" s="153" t="n"/>
      <c r="M387" s="153" t="n"/>
    </row>
    <row r="388">
      <c r="A388" s="150">
        <f>IF(B388&lt;&gt;"",ROW()-3,"")</f>
        <v/>
      </c>
      <c r="B388" s="150" t="n"/>
      <c r="C388" s="151" t="n"/>
      <c r="D388" s="151" t="n"/>
      <c r="E388" s="150" t="n"/>
      <c r="F388" s="150" t="n"/>
      <c r="G388" s="152" t="n"/>
      <c r="H388" s="152" t="n"/>
      <c r="I388" s="152">
        <f>IF(AND(G388&lt;&gt;"",H388&lt;&gt;""),G388-H388,"")</f>
        <v/>
      </c>
      <c r="J388" s="150" t="n"/>
      <c r="K388" s="150" t="n"/>
      <c r="L388" s="150" t="n"/>
      <c r="M388" s="150" t="n"/>
    </row>
    <row r="389">
      <c r="A389" s="153">
        <f>IF(B389&lt;&gt;"",ROW()-3,"")</f>
        <v/>
      </c>
      <c r="B389" s="153" t="n"/>
      <c r="C389" s="154" t="n"/>
      <c r="D389" s="154" t="n"/>
      <c r="E389" s="153" t="n"/>
      <c r="F389" s="153" t="n"/>
      <c r="G389" s="155" t="n"/>
      <c r="H389" s="155" t="n"/>
      <c r="I389" s="155">
        <f>IF(AND(G389&lt;&gt;"",H389&lt;&gt;""),G389-H389,"")</f>
        <v/>
      </c>
      <c r="J389" s="153" t="n"/>
      <c r="K389" s="153" t="n"/>
      <c r="L389" s="153" t="n"/>
      <c r="M389" s="153" t="n"/>
    </row>
    <row r="390">
      <c r="A390" s="150">
        <f>IF(B390&lt;&gt;"",ROW()-3,"")</f>
        <v/>
      </c>
      <c r="B390" s="150" t="n"/>
      <c r="C390" s="151" t="n"/>
      <c r="D390" s="151" t="n"/>
      <c r="E390" s="150" t="n"/>
      <c r="F390" s="150" t="n"/>
      <c r="G390" s="152" t="n"/>
      <c r="H390" s="152" t="n"/>
      <c r="I390" s="152">
        <f>IF(AND(G390&lt;&gt;"",H390&lt;&gt;""),G390-H390,"")</f>
        <v/>
      </c>
      <c r="J390" s="150" t="n"/>
      <c r="K390" s="150" t="n"/>
      <c r="L390" s="150" t="n"/>
      <c r="M390" s="150" t="n"/>
    </row>
    <row r="391">
      <c r="A391" s="153">
        <f>IF(B391&lt;&gt;"",ROW()-3,"")</f>
        <v/>
      </c>
      <c r="B391" s="153" t="n"/>
      <c r="C391" s="154" t="n"/>
      <c r="D391" s="154" t="n"/>
      <c r="E391" s="153" t="n"/>
      <c r="F391" s="153" t="n"/>
      <c r="G391" s="155" t="n"/>
      <c r="H391" s="155" t="n"/>
      <c r="I391" s="155">
        <f>IF(AND(G391&lt;&gt;"",H391&lt;&gt;""),G391-H391,"")</f>
        <v/>
      </c>
      <c r="J391" s="153" t="n"/>
      <c r="K391" s="153" t="n"/>
      <c r="L391" s="153" t="n"/>
      <c r="M391" s="153" t="n"/>
    </row>
    <row r="392">
      <c r="A392" s="150">
        <f>IF(B392&lt;&gt;"",ROW()-3,"")</f>
        <v/>
      </c>
      <c r="B392" s="150" t="n"/>
      <c r="C392" s="151" t="n"/>
      <c r="D392" s="151" t="n"/>
      <c r="E392" s="150" t="n"/>
      <c r="F392" s="150" t="n"/>
      <c r="G392" s="152" t="n"/>
      <c r="H392" s="152" t="n"/>
      <c r="I392" s="152">
        <f>IF(AND(G392&lt;&gt;"",H392&lt;&gt;""),G392-H392,"")</f>
        <v/>
      </c>
      <c r="J392" s="150" t="n"/>
      <c r="K392" s="150" t="n"/>
      <c r="L392" s="150" t="n"/>
      <c r="M392" s="150" t="n"/>
    </row>
    <row r="393">
      <c r="A393" s="153">
        <f>IF(B393&lt;&gt;"",ROW()-3,"")</f>
        <v/>
      </c>
      <c r="B393" s="153" t="n"/>
      <c r="C393" s="154" t="n"/>
      <c r="D393" s="154" t="n"/>
      <c r="E393" s="153" t="n"/>
      <c r="F393" s="153" t="n"/>
      <c r="G393" s="155" t="n"/>
      <c r="H393" s="155" t="n"/>
      <c r="I393" s="155">
        <f>IF(AND(G393&lt;&gt;"",H393&lt;&gt;""),G393-H393,"")</f>
        <v/>
      </c>
      <c r="J393" s="153" t="n"/>
      <c r="K393" s="153" t="n"/>
      <c r="L393" s="153" t="n"/>
      <c r="M393" s="153" t="n"/>
    </row>
    <row r="394">
      <c r="A394" s="150">
        <f>IF(B394&lt;&gt;"",ROW()-3,"")</f>
        <v/>
      </c>
      <c r="B394" s="150" t="n"/>
      <c r="C394" s="151" t="n"/>
      <c r="D394" s="151" t="n"/>
      <c r="E394" s="150" t="n"/>
      <c r="F394" s="150" t="n"/>
      <c r="G394" s="152" t="n"/>
      <c r="H394" s="152" t="n"/>
      <c r="I394" s="152">
        <f>IF(AND(G394&lt;&gt;"",H394&lt;&gt;""),G394-H394,"")</f>
        <v/>
      </c>
      <c r="J394" s="150" t="n"/>
      <c r="K394" s="150" t="n"/>
      <c r="L394" s="150" t="n"/>
      <c r="M394" s="150" t="n"/>
    </row>
    <row r="395">
      <c r="A395" s="153">
        <f>IF(B395&lt;&gt;"",ROW()-3,"")</f>
        <v/>
      </c>
      <c r="B395" s="153" t="n"/>
      <c r="C395" s="154" t="n"/>
      <c r="D395" s="154" t="n"/>
      <c r="E395" s="153" t="n"/>
      <c r="F395" s="153" t="n"/>
      <c r="G395" s="155" t="n"/>
      <c r="H395" s="155" t="n"/>
      <c r="I395" s="155">
        <f>IF(AND(G395&lt;&gt;"",H395&lt;&gt;""),G395-H395,"")</f>
        <v/>
      </c>
      <c r="J395" s="153" t="n"/>
      <c r="K395" s="153" t="n"/>
      <c r="L395" s="153" t="n"/>
      <c r="M395" s="153" t="n"/>
    </row>
    <row r="396">
      <c r="A396" s="150">
        <f>IF(B396&lt;&gt;"",ROW()-3,"")</f>
        <v/>
      </c>
      <c r="B396" s="150" t="n"/>
      <c r="C396" s="151" t="n"/>
      <c r="D396" s="151" t="n"/>
      <c r="E396" s="150" t="n"/>
      <c r="F396" s="150" t="n"/>
      <c r="G396" s="152" t="n"/>
      <c r="H396" s="152" t="n"/>
      <c r="I396" s="152">
        <f>IF(AND(G396&lt;&gt;"",H396&lt;&gt;""),G396-H396,"")</f>
        <v/>
      </c>
      <c r="J396" s="150" t="n"/>
      <c r="K396" s="150" t="n"/>
      <c r="L396" s="150" t="n"/>
      <c r="M396" s="150" t="n"/>
    </row>
    <row r="397">
      <c r="A397" s="153">
        <f>IF(B397&lt;&gt;"",ROW()-3,"")</f>
        <v/>
      </c>
      <c r="B397" s="153" t="n"/>
      <c r="C397" s="154" t="n"/>
      <c r="D397" s="154" t="n"/>
      <c r="E397" s="153" t="n"/>
      <c r="F397" s="153" t="n"/>
      <c r="G397" s="155" t="n"/>
      <c r="H397" s="155" t="n"/>
      <c r="I397" s="155">
        <f>IF(AND(G397&lt;&gt;"",H397&lt;&gt;""),G397-H397,"")</f>
        <v/>
      </c>
      <c r="J397" s="153" t="n"/>
      <c r="K397" s="153" t="n"/>
      <c r="L397" s="153" t="n"/>
      <c r="M397" s="153" t="n"/>
    </row>
    <row r="398">
      <c r="A398" s="150">
        <f>IF(B398&lt;&gt;"",ROW()-3,"")</f>
        <v/>
      </c>
      <c r="B398" s="150" t="n"/>
      <c r="C398" s="151" t="n"/>
      <c r="D398" s="151" t="n"/>
      <c r="E398" s="150" t="n"/>
      <c r="F398" s="150" t="n"/>
      <c r="G398" s="152" t="n"/>
      <c r="H398" s="152" t="n"/>
      <c r="I398" s="152">
        <f>IF(AND(G398&lt;&gt;"",H398&lt;&gt;""),G398-H398,"")</f>
        <v/>
      </c>
      <c r="J398" s="150" t="n"/>
      <c r="K398" s="150" t="n"/>
      <c r="L398" s="150" t="n"/>
      <c r="M398" s="150" t="n"/>
    </row>
    <row r="399">
      <c r="A399" s="153">
        <f>IF(B399&lt;&gt;"",ROW()-3,"")</f>
        <v/>
      </c>
      <c r="B399" s="153" t="n"/>
      <c r="C399" s="154" t="n"/>
      <c r="D399" s="154" t="n"/>
      <c r="E399" s="153" t="n"/>
      <c r="F399" s="153" t="n"/>
      <c r="G399" s="155" t="n"/>
      <c r="H399" s="155" t="n"/>
      <c r="I399" s="155">
        <f>IF(AND(G399&lt;&gt;"",H399&lt;&gt;""),G399-H399,"")</f>
        <v/>
      </c>
      <c r="J399" s="153" t="n"/>
      <c r="K399" s="153" t="n"/>
      <c r="L399" s="153" t="n"/>
      <c r="M399" s="153" t="n"/>
    </row>
    <row r="400">
      <c r="A400" s="150">
        <f>IF(B400&lt;&gt;"",ROW()-3,"")</f>
        <v/>
      </c>
      <c r="B400" s="150" t="n"/>
      <c r="C400" s="151" t="n"/>
      <c r="D400" s="151" t="n"/>
      <c r="E400" s="150" t="n"/>
      <c r="F400" s="150" t="n"/>
      <c r="G400" s="152" t="n"/>
      <c r="H400" s="152" t="n"/>
      <c r="I400" s="152">
        <f>IF(AND(G400&lt;&gt;"",H400&lt;&gt;""),G400-H400,"")</f>
        <v/>
      </c>
      <c r="J400" s="150" t="n"/>
      <c r="K400" s="150" t="n"/>
      <c r="L400" s="150" t="n"/>
      <c r="M400" s="150" t="n"/>
    </row>
    <row r="401">
      <c r="A401" s="153">
        <f>IF(B401&lt;&gt;"",ROW()-3,"")</f>
        <v/>
      </c>
      <c r="B401" s="153" t="n"/>
      <c r="C401" s="154" t="n"/>
      <c r="D401" s="154" t="n"/>
      <c r="E401" s="153" t="n"/>
      <c r="F401" s="153" t="n"/>
      <c r="G401" s="155" t="n"/>
      <c r="H401" s="155" t="n"/>
      <c r="I401" s="155">
        <f>IF(AND(G401&lt;&gt;"",H401&lt;&gt;""),G401-H401,"")</f>
        <v/>
      </c>
      <c r="J401" s="153" t="n"/>
      <c r="K401" s="153" t="n"/>
      <c r="L401" s="153" t="n"/>
      <c r="M401" s="153" t="n"/>
    </row>
    <row r="402">
      <c r="A402" s="150">
        <f>IF(B402&lt;&gt;"",ROW()-3,"")</f>
        <v/>
      </c>
      <c r="B402" s="150" t="n"/>
      <c r="C402" s="151" t="n"/>
      <c r="D402" s="151" t="n"/>
      <c r="E402" s="150" t="n"/>
      <c r="F402" s="150" t="n"/>
      <c r="G402" s="152" t="n"/>
      <c r="H402" s="152" t="n"/>
      <c r="I402" s="152">
        <f>IF(AND(G402&lt;&gt;"",H402&lt;&gt;""),G402-H402,"")</f>
        <v/>
      </c>
      <c r="J402" s="150" t="n"/>
      <c r="K402" s="150" t="n"/>
      <c r="L402" s="150" t="n"/>
      <c r="M402" s="150" t="n"/>
    </row>
    <row r="403">
      <c r="A403" s="153">
        <f>IF(B403&lt;&gt;"",ROW()-3,"")</f>
        <v/>
      </c>
      <c r="B403" s="153" t="n"/>
      <c r="C403" s="154" t="n"/>
      <c r="D403" s="154" t="n"/>
      <c r="E403" s="153" t="n"/>
      <c r="F403" s="153" t="n"/>
      <c r="G403" s="155" t="n"/>
      <c r="H403" s="155" t="n"/>
      <c r="I403" s="155">
        <f>IF(AND(G403&lt;&gt;"",H403&lt;&gt;""),G403-H403,"")</f>
        <v/>
      </c>
      <c r="J403" s="153" t="n"/>
      <c r="K403" s="153" t="n"/>
      <c r="L403" s="153" t="n"/>
      <c r="M403" s="153" t="n"/>
    </row>
    <row r="404">
      <c r="A404" s="150">
        <f>IF(B404&lt;&gt;"",ROW()-3,"")</f>
        <v/>
      </c>
      <c r="B404" s="150" t="n"/>
      <c r="C404" s="151" t="n"/>
      <c r="D404" s="151" t="n"/>
      <c r="E404" s="150" t="n"/>
      <c r="F404" s="150" t="n"/>
      <c r="G404" s="152" t="n"/>
      <c r="H404" s="152" t="n"/>
      <c r="I404" s="152">
        <f>IF(AND(G404&lt;&gt;"",H404&lt;&gt;""),G404-H404,"")</f>
        <v/>
      </c>
      <c r="J404" s="150" t="n"/>
      <c r="K404" s="150" t="n"/>
      <c r="L404" s="150" t="n"/>
      <c r="M404" s="150" t="n"/>
    </row>
    <row r="405">
      <c r="A405" s="153">
        <f>IF(B405&lt;&gt;"",ROW()-3,"")</f>
        <v/>
      </c>
      <c r="B405" s="153" t="n"/>
      <c r="C405" s="154" t="n"/>
      <c r="D405" s="154" t="n"/>
      <c r="E405" s="153" t="n"/>
      <c r="F405" s="153" t="n"/>
      <c r="G405" s="155" t="n"/>
      <c r="H405" s="155" t="n"/>
      <c r="I405" s="155">
        <f>IF(AND(G405&lt;&gt;"",H405&lt;&gt;""),G405-H405,"")</f>
        <v/>
      </c>
      <c r="J405" s="153" t="n"/>
      <c r="K405" s="153" t="n"/>
      <c r="L405" s="153" t="n"/>
      <c r="M405" s="153" t="n"/>
    </row>
    <row r="406">
      <c r="A406" s="150">
        <f>IF(B406&lt;&gt;"",ROW()-3,"")</f>
        <v/>
      </c>
      <c r="B406" s="150" t="n"/>
      <c r="C406" s="151" t="n"/>
      <c r="D406" s="151" t="n"/>
      <c r="E406" s="150" t="n"/>
      <c r="F406" s="150" t="n"/>
      <c r="G406" s="152" t="n"/>
      <c r="H406" s="152" t="n"/>
      <c r="I406" s="152">
        <f>IF(AND(G406&lt;&gt;"",H406&lt;&gt;""),G406-H406,"")</f>
        <v/>
      </c>
      <c r="J406" s="150" t="n"/>
      <c r="K406" s="150" t="n"/>
      <c r="L406" s="150" t="n"/>
      <c r="M406" s="150" t="n"/>
    </row>
    <row r="407">
      <c r="A407" s="153">
        <f>IF(B407&lt;&gt;"",ROW()-3,"")</f>
        <v/>
      </c>
      <c r="B407" s="153" t="n"/>
      <c r="C407" s="154" t="n"/>
      <c r="D407" s="154" t="n"/>
      <c r="E407" s="153" t="n"/>
      <c r="F407" s="153" t="n"/>
      <c r="G407" s="155" t="n"/>
      <c r="H407" s="155" t="n"/>
      <c r="I407" s="155">
        <f>IF(AND(G407&lt;&gt;"",H407&lt;&gt;""),G407-H407,"")</f>
        <v/>
      </c>
      <c r="J407" s="153" t="n"/>
      <c r="K407" s="153" t="n"/>
      <c r="L407" s="153" t="n"/>
      <c r="M407" s="153" t="n"/>
    </row>
    <row r="408">
      <c r="A408" s="150">
        <f>IF(B408&lt;&gt;"",ROW()-3,"")</f>
        <v/>
      </c>
      <c r="B408" s="150" t="n"/>
      <c r="C408" s="151" t="n"/>
      <c r="D408" s="151" t="n"/>
      <c r="E408" s="150" t="n"/>
      <c r="F408" s="150" t="n"/>
      <c r="G408" s="152" t="n"/>
      <c r="H408" s="152" t="n"/>
      <c r="I408" s="152">
        <f>IF(AND(G408&lt;&gt;"",H408&lt;&gt;""),G408-H408,"")</f>
        <v/>
      </c>
      <c r="J408" s="150" t="n"/>
      <c r="K408" s="150" t="n"/>
      <c r="L408" s="150" t="n"/>
      <c r="M408" s="150" t="n"/>
    </row>
    <row r="409">
      <c r="A409" s="153">
        <f>IF(B409&lt;&gt;"",ROW()-3,"")</f>
        <v/>
      </c>
      <c r="B409" s="153" t="n"/>
      <c r="C409" s="154" t="n"/>
      <c r="D409" s="154" t="n"/>
      <c r="E409" s="153" t="n"/>
      <c r="F409" s="153" t="n"/>
      <c r="G409" s="155" t="n"/>
      <c r="H409" s="155" t="n"/>
      <c r="I409" s="155">
        <f>IF(AND(G409&lt;&gt;"",H409&lt;&gt;""),G409-H409,"")</f>
        <v/>
      </c>
      <c r="J409" s="153" t="n"/>
      <c r="K409" s="153" t="n"/>
      <c r="L409" s="153" t="n"/>
      <c r="M409" s="153" t="n"/>
    </row>
    <row r="410">
      <c r="A410" s="150">
        <f>IF(B410&lt;&gt;"",ROW()-3,"")</f>
        <v/>
      </c>
      <c r="B410" s="150" t="n"/>
      <c r="C410" s="151" t="n"/>
      <c r="D410" s="151" t="n"/>
      <c r="E410" s="150" t="n"/>
      <c r="F410" s="150" t="n"/>
      <c r="G410" s="152" t="n"/>
      <c r="H410" s="152" t="n"/>
      <c r="I410" s="152">
        <f>IF(AND(G410&lt;&gt;"",H410&lt;&gt;""),G410-H410,"")</f>
        <v/>
      </c>
      <c r="J410" s="150" t="n"/>
      <c r="K410" s="150" t="n"/>
      <c r="L410" s="150" t="n"/>
      <c r="M410" s="150" t="n"/>
    </row>
    <row r="411">
      <c r="A411" s="153">
        <f>IF(B411&lt;&gt;"",ROW()-3,"")</f>
        <v/>
      </c>
      <c r="B411" s="153" t="n"/>
      <c r="C411" s="154" t="n"/>
      <c r="D411" s="154" t="n"/>
      <c r="E411" s="153" t="n"/>
      <c r="F411" s="153" t="n"/>
      <c r="G411" s="155" t="n"/>
      <c r="H411" s="155" t="n"/>
      <c r="I411" s="155">
        <f>IF(AND(G411&lt;&gt;"",H411&lt;&gt;""),G411-H411,"")</f>
        <v/>
      </c>
      <c r="J411" s="153" t="n"/>
      <c r="K411" s="153" t="n"/>
      <c r="L411" s="153" t="n"/>
      <c r="M411" s="153" t="n"/>
    </row>
    <row r="412">
      <c r="A412" s="150">
        <f>IF(B412&lt;&gt;"",ROW()-3,"")</f>
        <v/>
      </c>
      <c r="B412" s="150" t="n"/>
      <c r="C412" s="151" t="n"/>
      <c r="D412" s="151" t="n"/>
      <c r="E412" s="150" t="n"/>
      <c r="F412" s="150" t="n"/>
      <c r="G412" s="152" t="n"/>
      <c r="H412" s="152" t="n"/>
      <c r="I412" s="152">
        <f>IF(AND(G412&lt;&gt;"",H412&lt;&gt;""),G412-H412,"")</f>
        <v/>
      </c>
      <c r="J412" s="150" t="n"/>
      <c r="K412" s="150" t="n"/>
      <c r="L412" s="150" t="n"/>
      <c r="M412" s="150" t="n"/>
    </row>
    <row r="413">
      <c r="A413" s="153">
        <f>IF(B413&lt;&gt;"",ROW()-3,"")</f>
        <v/>
      </c>
      <c r="B413" s="153" t="n"/>
      <c r="C413" s="154" t="n"/>
      <c r="D413" s="154" t="n"/>
      <c r="E413" s="153" t="n"/>
      <c r="F413" s="153" t="n"/>
      <c r="G413" s="155" t="n"/>
      <c r="H413" s="155" t="n"/>
      <c r="I413" s="155">
        <f>IF(AND(G413&lt;&gt;"",H413&lt;&gt;""),G413-H413,"")</f>
        <v/>
      </c>
      <c r="J413" s="153" t="n"/>
      <c r="K413" s="153" t="n"/>
      <c r="L413" s="153" t="n"/>
      <c r="M413" s="153" t="n"/>
    </row>
    <row r="414">
      <c r="A414" s="150">
        <f>IF(B414&lt;&gt;"",ROW()-3,"")</f>
        <v/>
      </c>
      <c r="B414" s="150" t="n"/>
      <c r="C414" s="151" t="n"/>
      <c r="D414" s="151" t="n"/>
      <c r="E414" s="150" t="n"/>
      <c r="F414" s="150" t="n"/>
      <c r="G414" s="152" t="n"/>
      <c r="H414" s="152" t="n"/>
      <c r="I414" s="152">
        <f>IF(AND(G414&lt;&gt;"",H414&lt;&gt;""),G414-H414,"")</f>
        <v/>
      </c>
      <c r="J414" s="150" t="n"/>
      <c r="K414" s="150" t="n"/>
      <c r="L414" s="150" t="n"/>
      <c r="M414" s="150" t="n"/>
    </row>
    <row r="415">
      <c r="A415" s="153">
        <f>IF(B415&lt;&gt;"",ROW()-3,"")</f>
        <v/>
      </c>
      <c r="B415" s="153" t="n"/>
      <c r="C415" s="154" t="n"/>
      <c r="D415" s="154" t="n"/>
      <c r="E415" s="153" t="n"/>
      <c r="F415" s="153" t="n"/>
      <c r="G415" s="155" t="n"/>
      <c r="H415" s="155" t="n"/>
      <c r="I415" s="155">
        <f>IF(AND(G415&lt;&gt;"",H415&lt;&gt;""),G415-H415,"")</f>
        <v/>
      </c>
      <c r="J415" s="153" t="n"/>
      <c r="K415" s="153" t="n"/>
      <c r="L415" s="153" t="n"/>
      <c r="M415" s="153" t="n"/>
    </row>
    <row r="416">
      <c r="A416" s="150">
        <f>IF(B416&lt;&gt;"",ROW()-3,"")</f>
        <v/>
      </c>
      <c r="B416" s="150" t="n"/>
      <c r="C416" s="151" t="n"/>
      <c r="D416" s="151" t="n"/>
      <c r="E416" s="150" t="n"/>
      <c r="F416" s="150" t="n"/>
      <c r="G416" s="152" t="n"/>
      <c r="H416" s="152" t="n"/>
      <c r="I416" s="152">
        <f>IF(AND(G416&lt;&gt;"",H416&lt;&gt;""),G416-H416,"")</f>
        <v/>
      </c>
      <c r="J416" s="150" t="n"/>
      <c r="K416" s="150" t="n"/>
      <c r="L416" s="150" t="n"/>
      <c r="M416" s="150" t="n"/>
    </row>
    <row r="417">
      <c r="A417" s="153">
        <f>IF(B417&lt;&gt;"",ROW()-3,"")</f>
        <v/>
      </c>
      <c r="B417" s="153" t="n"/>
      <c r="C417" s="154" t="n"/>
      <c r="D417" s="154" t="n"/>
      <c r="E417" s="153" t="n"/>
      <c r="F417" s="153" t="n"/>
      <c r="G417" s="155" t="n"/>
      <c r="H417" s="155" t="n"/>
      <c r="I417" s="155">
        <f>IF(AND(G417&lt;&gt;"",H417&lt;&gt;""),G417-H417,"")</f>
        <v/>
      </c>
      <c r="J417" s="153" t="n"/>
      <c r="K417" s="153" t="n"/>
      <c r="L417" s="153" t="n"/>
      <c r="M417" s="153" t="n"/>
    </row>
    <row r="418">
      <c r="A418" s="150">
        <f>IF(B418&lt;&gt;"",ROW()-3,"")</f>
        <v/>
      </c>
      <c r="B418" s="150" t="n"/>
      <c r="C418" s="151" t="n"/>
      <c r="D418" s="151" t="n"/>
      <c r="E418" s="150" t="n"/>
      <c r="F418" s="150" t="n"/>
      <c r="G418" s="152" t="n"/>
      <c r="H418" s="152" t="n"/>
      <c r="I418" s="152">
        <f>IF(AND(G418&lt;&gt;"",H418&lt;&gt;""),G418-H418,"")</f>
        <v/>
      </c>
      <c r="J418" s="150" t="n"/>
      <c r="K418" s="150" t="n"/>
      <c r="L418" s="150" t="n"/>
      <c r="M418" s="150" t="n"/>
    </row>
    <row r="419">
      <c r="A419" s="153">
        <f>IF(B419&lt;&gt;"",ROW()-3,"")</f>
        <v/>
      </c>
      <c r="B419" s="153" t="n"/>
      <c r="C419" s="154" t="n"/>
      <c r="D419" s="154" t="n"/>
      <c r="E419" s="153" t="n"/>
      <c r="F419" s="153" t="n"/>
      <c r="G419" s="155" t="n"/>
      <c r="H419" s="155" t="n"/>
      <c r="I419" s="155">
        <f>IF(AND(G419&lt;&gt;"",H419&lt;&gt;""),G419-H419,"")</f>
        <v/>
      </c>
      <c r="J419" s="153" t="n"/>
      <c r="K419" s="153" t="n"/>
      <c r="L419" s="153" t="n"/>
      <c r="M419" s="153" t="n"/>
    </row>
    <row r="420">
      <c r="A420" s="150">
        <f>IF(B420&lt;&gt;"",ROW()-3,"")</f>
        <v/>
      </c>
      <c r="B420" s="150" t="n"/>
      <c r="C420" s="151" t="n"/>
      <c r="D420" s="151" t="n"/>
      <c r="E420" s="150" t="n"/>
      <c r="F420" s="150" t="n"/>
      <c r="G420" s="152" t="n"/>
      <c r="H420" s="152" t="n"/>
      <c r="I420" s="152">
        <f>IF(AND(G420&lt;&gt;"",H420&lt;&gt;""),G420-H420,"")</f>
        <v/>
      </c>
      <c r="J420" s="150" t="n"/>
      <c r="K420" s="150" t="n"/>
      <c r="L420" s="150" t="n"/>
      <c r="M420" s="150" t="n"/>
    </row>
    <row r="421">
      <c r="A421" s="153">
        <f>IF(B421&lt;&gt;"",ROW()-3,"")</f>
        <v/>
      </c>
      <c r="B421" s="153" t="n"/>
      <c r="C421" s="154" t="n"/>
      <c r="D421" s="154" t="n"/>
      <c r="E421" s="153" t="n"/>
      <c r="F421" s="153" t="n"/>
      <c r="G421" s="155" t="n"/>
      <c r="H421" s="155" t="n"/>
      <c r="I421" s="155">
        <f>IF(AND(G421&lt;&gt;"",H421&lt;&gt;""),G421-H421,"")</f>
        <v/>
      </c>
      <c r="J421" s="153" t="n"/>
      <c r="K421" s="153" t="n"/>
      <c r="L421" s="153" t="n"/>
      <c r="M421" s="153" t="n"/>
    </row>
    <row r="422">
      <c r="A422" s="150">
        <f>IF(B422&lt;&gt;"",ROW()-3,"")</f>
        <v/>
      </c>
      <c r="B422" s="150" t="n"/>
      <c r="C422" s="151" t="n"/>
      <c r="D422" s="151" t="n"/>
      <c r="E422" s="150" t="n"/>
      <c r="F422" s="150" t="n"/>
      <c r="G422" s="152" t="n"/>
      <c r="H422" s="152" t="n"/>
      <c r="I422" s="152">
        <f>IF(AND(G422&lt;&gt;"",H422&lt;&gt;""),G422-H422,"")</f>
        <v/>
      </c>
      <c r="J422" s="150" t="n"/>
      <c r="K422" s="150" t="n"/>
      <c r="L422" s="150" t="n"/>
      <c r="M422" s="150" t="n"/>
    </row>
    <row r="423">
      <c r="A423" s="153">
        <f>IF(B423&lt;&gt;"",ROW()-3,"")</f>
        <v/>
      </c>
      <c r="B423" s="153" t="n"/>
      <c r="C423" s="154" t="n"/>
      <c r="D423" s="154" t="n"/>
      <c r="E423" s="153" t="n"/>
      <c r="F423" s="153" t="n"/>
      <c r="G423" s="155" t="n"/>
      <c r="H423" s="155" t="n"/>
      <c r="I423" s="155">
        <f>IF(AND(G423&lt;&gt;"",H423&lt;&gt;""),G423-H423,"")</f>
        <v/>
      </c>
      <c r="J423" s="153" t="n"/>
      <c r="K423" s="153" t="n"/>
      <c r="L423" s="153" t="n"/>
      <c r="M423" s="153" t="n"/>
    </row>
    <row r="424">
      <c r="A424" s="150">
        <f>IF(B424&lt;&gt;"",ROW()-3,"")</f>
        <v/>
      </c>
      <c r="B424" s="150" t="n"/>
      <c r="C424" s="151" t="n"/>
      <c r="D424" s="151" t="n"/>
      <c r="E424" s="150" t="n"/>
      <c r="F424" s="150" t="n"/>
      <c r="G424" s="152" t="n"/>
      <c r="H424" s="152" t="n"/>
      <c r="I424" s="152">
        <f>IF(AND(G424&lt;&gt;"",H424&lt;&gt;""),G424-H424,"")</f>
        <v/>
      </c>
      <c r="J424" s="150" t="n"/>
      <c r="K424" s="150" t="n"/>
      <c r="L424" s="150" t="n"/>
      <c r="M424" s="150" t="n"/>
    </row>
    <row r="425">
      <c r="A425" s="153">
        <f>IF(B425&lt;&gt;"",ROW()-3,"")</f>
        <v/>
      </c>
      <c r="B425" s="153" t="n"/>
      <c r="C425" s="154" t="n"/>
      <c r="D425" s="154" t="n"/>
      <c r="E425" s="153" t="n"/>
      <c r="F425" s="153" t="n"/>
      <c r="G425" s="155" t="n"/>
      <c r="H425" s="155" t="n"/>
      <c r="I425" s="155">
        <f>IF(AND(G425&lt;&gt;"",H425&lt;&gt;""),G425-H425,"")</f>
        <v/>
      </c>
      <c r="J425" s="153" t="n"/>
      <c r="K425" s="153" t="n"/>
      <c r="L425" s="153" t="n"/>
      <c r="M425" s="153" t="n"/>
    </row>
    <row r="426">
      <c r="A426" s="150">
        <f>IF(B426&lt;&gt;"",ROW()-3,"")</f>
        <v/>
      </c>
      <c r="B426" s="150" t="n"/>
      <c r="C426" s="151" t="n"/>
      <c r="D426" s="151" t="n"/>
      <c r="E426" s="150" t="n"/>
      <c r="F426" s="150" t="n"/>
      <c r="G426" s="152" t="n"/>
      <c r="H426" s="152" t="n"/>
      <c r="I426" s="152">
        <f>IF(AND(G426&lt;&gt;"",H426&lt;&gt;""),G426-H426,"")</f>
        <v/>
      </c>
      <c r="J426" s="150" t="n"/>
      <c r="K426" s="150" t="n"/>
      <c r="L426" s="150" t="n"/>
      <c r="M426" s="150" t="n"/>
    </row>
    <row r="427">
      <c r="A427" s="153">
        <f>IF(B427&lt;&gt;"",ROW()-3,"")</f>
        <v/>
      </c>
      <c r="B427" s="153" t="n"/>
      <c r="C427" s="154" t="n"/>
      <c r="D427" s="154" t="n"/>
      <c r="E427" s="153" t="n"/>
      <c r="F427" s="153" t="n"/>
      <c r="G427" s="155" t="n"/>
      <c r="H427" s="155" t="n"/>
      <c r="I427" s="155">
        <f>IF(AND(G427&lt;&gt;"",H427&lt;&gt;""),G427-H427,"")</f>
        <v/>
      </c>
      <c r="J427" s="153" t="n"/>
      <c r="K427" s="153" t="n"/>
      <c r="L427" s="153" t="n"/>
      <c r="M427" s="153" t="n"/>
    </row>
    <row r="428">
      <c r="A428" s="150">
        <f>IF(B428&lt;&gt;"",ROW()-3,"")</f>
        <v/>
      </c>
      <c r="B428" s="150" t="n"/>
      <c r="C428" s="151" t="n"/>
      <c r="D428" s="151" t="n"/>
      <c r="E428" s="150" t="n"/>
      <c r="F428" s="150" t="n"/>
      <c r="G428" s="152" t="n"/>
      <c r="H428" s="152" t="n"/>
      <c r="I428" s="152">
        <f>IF(AND(G428&lt;&gt;"",H428&lt;&gt;""),G428-H428,"")</f>
        <v/>
      </c>
      <c r="J428" s="150" t="n"/>
      <c r="K428" s="150" t="n"/>
      <c r="L428" s="150" t="n"/>
      <c r="M428" s="150" t="n"/>
    </row>
    <row r="429">
      <c r="A429" s="153">
        <f>IF(B429&lt;&gt;"",ROW()-3,"")</f>
        <v/>
      </c>
      <c r="B429" s="153" t="n"/>
      <c r="C429" s="154" t="n"/>
      <c r="D429" s="154" t="n"/>
      <c r="E429" s="153" t="n"/>
      <c r="F429" s="153" t="n"/>
      <c r="G429" s="155" t="n"/>
      <c r="H429" s="155" t="n"/>
      <c r="I429" s="155">
        <f>IF(AND(G429&lt;&gt;"",H429&lt;&gt;""),G429-H429,"")</f>
        <v/>
      </c>
      <c r="J429" s="153" t="n"/>
      <c r="K429" s="153" t="n"/>
      <c r="L429" s="153" t="n"/>
      <c r="M429" s="153" t="n"/>
    </row>
    <row r="430">
      <c r="A430" s="150">
        <f>IF(B430&lt;&gt;"",ROW()-3,"")</f>
        <v/>
      </c>
      <c r="B430" s="150" t="n"/>
      <c r="C430" s="151" t="n"/>
      <c r="D430" s="151" t="n"/>
      <c r="E430" s="150" t="n"/>
      <c r="F430" s="150" t="n"/>
      <c r="G430" s="152" t="n"/>
      <c r="H430" s="152" t="n"/>
      <c r="I430" s="152">
        <f>IF(AND(G430&lt;&gt;"",H430&lt;&gt;""),G430-H430,"")</f>
        <v/>
      </c>
      <c r="J430" s="150" t="n"/>
      <c r="K430" s="150" t="n"/>
      <c r="L430" s="150" t="n"/>
      <c r="M430" s="150" t="n"/>
    </row>
    <row r="431">
      <c r="A431" s="153">
        <f>IF(B431&lt;&gt;"",ROW()-3,"")</f>
        <v/>
      </c>
      <c r="B431" s="153" t="n"/>
      <c r="C431" s="154" t="n"/>
      <c r="D431" s="154" t="n"/>
      <c r="E431" s="153" t="n"/>
      <c r="F431" s="153" t="n"/>
      <c r="G431" s="155" t="n"/>
      <c r="H431" s="155" t="n"/>
      <c r="I431" s="155">
        <f>IF(AND(G431&lt;&gt;"",H431&lt;&gt;""),G431-H431,"")</f>
        <v/>
      </c>
      <c r="J431" s="153" t="n"/>
      <c r="K431" s="153" t="n"/>
      <c r="L431" s="153" t="n"/>
      <c r="M431" s="153" t="n"/>
    </row>
    <row r="432">
      <c r="A432" s="150">
        <f>IF(B432&lt;&gt;"",ROW()-3,"")</f>
        <v/>
      </c>
      <c r="B432" s="150" t="n"/>
      <c r="C432" s="151" t="n"/>
      <c r="D432" s="151" t="n"/>
      <c r="E432" s="150" t="n"/>
      <c r="F432" s="150" t="n"/>
      <c r="G432" s="152" t="n"/>
      <c r="H432" s="152" t="n"/>
      <c r="I432" s="152">
        <f>IF(AND(G432&lt;&gt;"",H432&lt;&gt;""),G432-H432,"")</f>
        <v/>
      </c>
      <c r="J432" s="150" t="n"/>
      <c r="K432" s="150" t="n"/>
      <c r="L432" s="150" t="n"/>
      <c r="M432" s="150" t="n"/>
    </row>
    <row r="433">
      <c r="A433" s="153">
        <f>IF(B433&lt;&gt;"",ROW()-3,"")</f>
        <v/>
      </c>
      <c r="B433" s="153" t="n"/>
      <c r="C433" s="154" t="n"/>
      <c r="D433" s="154" t="n"/>
      <c r="E433" s="153" t="n"/>
      <c r="F433" s="153" t="n"/>
      <c r="G433" s="155" t="n"/>
      <c r="H433" s="155" t="n"/>
      <c r="I433" s="155">
        <f>IF(AND(G433&lt;&gt;"",H433&lt;&gt;""),G433-H433,"")</f>
        <v/>
      </c>
      <c r="J433" s="153" t="n"/>
      <c r="K433" s="153" t="n"/>
      <c r="L433" s="153" t="n"/>
      <c r="M433" s="153" t="n"/>
    </row>
    <row r="434">
      <c r="A434" s="150">
        <f>IF(B434&lt;&gt;"",ROW()-3,"")</f>
        <v/>
      </c>
      <c r="B434" s="150" t="n"/>
      <c r="C434" s="151" t="n"/>
      <c r="D434" s="151" t="n"/>
      <c r="E434" s="150" t="n"/>
      <c r="F434" s="150" t="n"/>
      <c r="G434" s="152" t="n"/>
      <c r="H434" s="152" t="n"/>
      <c r="I434" s="152">
        <f>IF(AND(G434&lt;&gt;"",H434&lt;&gt;""),G434-H434,"")</f>
        <v/>
      </c>
      <c r="J434" s="150" t="n"/>
      <c r="K434" s="150" t="n"/>
      <c r="L434" s="150" t="n"/>
      <c r="M434" s="150" t="n"/>
    </row>
    <row r="435">
      <c r="A435" s="153">
        <f>IF(B435&lt;&gt;"",ROW()-3,"")</f>
        <v/>
      </c>
      <c r="B435" s="153" t="n"/>
      <c r="C435" s="154" t="n"/>
      <c r="D435" s="154" t="n"/>
      <c r="E435" s="153" t="n"/>
      <c r="F435" s="153" t="n"/>
      <c r="G435" s="155" t="n"/>
      <c r="H435" s="155" t="n"/>
      <c r="I435" s="155">
        <f>IF(AND(G435&lt;&gt;"",H435&lt;&gt;""),G435-H435,"")</f>
        <v/>
      </c>
      <c r="J435" s="153" t="n"/>
      <c r="K435" s="153" t="n"/>
      <c r="L435" s="153" t="n"/>
      <c r="M435" s="153" t="n"/>
    </row>
    <row r="436">
      <c r="A436" s="150">
        <f>IF(B436&lt;&gt;"",ROW()-3,"")</f>
        <v/>
      </c>
      <c r="B436" s="150" t="n"/>
      <c r="C436" s="151" t="n"/>
      <c r="D436" s="151" t="n"/>
      <c r="E436" s="150" t="n"/>
      <c r="F436" s="150" t="n"/>
      <c r="G436" s="152" t="n"/>
      <c r="H436" s="152" t="n"/>
      <c r="I436" s="152">
        <f>IF(AND(G436&lt;&gt;"",H436&lt;&gt;""),G436-H436,"")</f>
        <v/>
      </c>
      <c r="J436" s="150" t="n"/>
      <c r="K436" s="150" t="n"/>
      <c r="L436" s="150" t="n"/>
      <c r="M436" s="150" t="n"/>
    </row>
    <row r="437">
      <c r="A437" s="153">
        <f>IF(B437&lt;&gt;"",ROW()-3,"")</f>
        <v/>
      </c>
      <c r="B437" s="153" t="n"/>
      <c r="C437" s="154" t="n"/>
      <c r="D437" s="154" t="n"/>
      <c r="E437" s="153" t="n"/>
      <c r="F437" s="153" t="n"/>
      <c r="G437" s="155" t="n"/>
      <c r="H437" s="155" t="n"/>
      <c r="I437" s="155">
        <f>IF(AND(G437&lt;&gt;"",H437&lt;&gt;""),G437-H437,"")</f>
        <v/>
      </c>
      <c r="J437" s="153" t="n"/>
      <c r="K437" s="153" t="n"/>
      <c r="L437" s="153" t="n"/>
      <c r="M437" s="153" t="n"/>
    </row>
    <row r="438">
      <c r="A438" s="150">
        <f>IF(B438&lt;&gt;"",ROW()-3,"")</f>
        <v/>
      </c>
      <c r="B438" s="150" t="n"/>
      <c r="C438" s="151" t="n"/>
      <c r="D438" s="151" t="n"/>
      <c r="E438" s="150" t="n"/>
      <c r="F438" s="150" t="n"/>
      <c r="G438" s="152" t="n"/>
      <c r="H438" s="152" t="n"/>
      <c r="I438" s="152">
        <f>IF(AND(G438&lt;&gt;"",H438&lt;&gt;""),G438-H438,"")</f>
        <v/>
      </c>
      <c r="J438" s="150" t="n"/>
      <c r="K438" s="150" t="n"/>
      <c r="L438" s="150" t="n"/>
      <c r="M438" s="150" t="n"/>
    </row>
    <row r="439">
      <c r="A439" s="153">
        <f>IF(B439&lt;&gt;"",ROW()-3,"")</f>
        <v/>
      </c>
      <c r="B439" s="153" t="n"/>
      <c r="C439" s="154" t="n"/>
      <c r="D439" s="154" t="n"/>
      <c r="E439" s="153" t="n"/>
      <c r="F439" s="153" t="n"/>
      <c r="G439" s="155" t="n"/>
      <c r="H439" s="155" t="n"/>
      <c r="I439" s="155">
        <f>IF(AND(G439&lt;&gt;"",H439&lt;&gt;""),G439-H439,"")</f>
        <v/>
      </c>
      <c r="J439" s="153" t="n"/>
      <c r="K439" s="153" t="n"/>
      <c r="L439" s="153" t="n"/>
      <c r="M439" s="153" t="n"/>
    </row>
    <row r="440">
      <c r="A440" s="150">
        <f>IF(B440&lt;&gt;"",ROW()-3,"")</f>
        <v/>
      </c>
      <c r="B440" s="150" t="n"/>
      <c r="C440" s="151" t="n"/>
      <c r="D440" s="151" t="n"/>
      <c r="E440" s="150" t="n"/>
      <c r="F440" s="150" t="n"/>
      <c r="G440" s="152" t="n"/>
      <c r="H440" s="152" t="n"/>
      <c r="I440" s="152">
        <f>IF(AND(G440&lt;&gt;"",H440&lt;&gt;""),G440-H440,"")</f>
        <v/>
      </c>
      <c r="J440" s="150" t="n"/>
      <c r="K440" s="150" t="n"/>
      <c r="L440" s="150" t="n"/>
      <c r="M440" s="150" t="n"/>
    </row>
    <row r="441">
      <c r="A441" s="153">
        <f>IF(B441&lt;&gt;"",ROW()-3,"")</f>
        <v/>
      </c>
      <c r="B441" s="153" t="n"/>
      <c r="C441" s="154" t="n"/>
      <c r="D441" s="154" t="n"/>
      <c r="E441" s="153" t="n"/>
      <c r="F441" s="153" t="n"/>
      <c r="G441" s="155" t="n"/>
      <c r="H441" s="155" t="n"/>
      <c r="I441" s="155">
        <f>IF(AND(G441&lt;&gt;"",H441&lt;&gt;""),G441-H441,"")</f>
        <v/>
      </c>
      <c r="J441" s="153" t="n"/>
      <c r="K441" s="153" t="n"/>
      <c r="L441" s="153" t="n"/>
      <c r="M441" s="153" t="n"/>
    </row>
    <row r="442">
      <c r="A442" s="150">
        <f>IF(B442&lt;&gt;"",ROW()-3,"")</f>
        <v/>
      </c>
      <c r="B442" s="150" t="n"/>
      <c r="C442" s="151" t="n"/>
      <c r="D442" s="151" t="n"/>
      <c r="E442" s="150" t="n"/>
      <c r="F442" s="150" t="n"/>
      <c r="G442" s="152" t="n"/>
      <c r="H442" s="152" t="n"/>
      <c r="I442" s="152">
        <f>IF(AND(G442&lt;&gt;"",H442&lt;&gt;""),G442-H442,"")</f>
        <v/>
      </c>
      <c r="J442" s="150" t="n"/>
      <c r="K442" s="150" t="n"/>
      <c r="L442" s="150" t="n"/>
      <c r="M442" s="150" t="n"/>
    </row>
    <row r="443">
      <c r="A443" s="153">
        <f>IF(B443&lt;&gt;"",ROW()-3,"")</f>
        <v/>
      </c>
      <c r="B443" s="153" t="n"/>
      <c r="C443" s="154" t="n"/>
      <c r="D443" s="154" t="n"/>
      <c r="E443" s="153" t="n"/>
      <c r="F443" s="153" t="n"/>
      <c r="G443" s="155" t="n"/>
      <c r="H443" s="155" t="n"/>
      <c r="I443" s="155">
        <f>IF(AND(G443&lt;&gt;"",H443&lt;&gt;""),G443-H443,"")</f>
        <v/>
      </c>
      <c r="J443" s="153" t="n"/>
      <c r="K443" s="153" t="n"/>
      <c r="L443" s="153" t="n"/>
      <c r="M443" s="153" t="n"/>
    </row>
    <row r="444">
      <c r="A444" s="150">
        <f>IF(B444&lt;&gt;"",ROW()-3,"")</f>
        <v/>
      </c>
      <c r="B444" s="150" t="n"/>
      <c r="C444" s="151" t="n"/>
      <c r="D444" s="151" t="n"/>
      <c r="E444" s="150" t="n"/>
      <c r="F444" s="150" t="n"/>
      <c r="G444" s="152" t="n"/>
      <c r="H444" s="152" t="n"/>
      <c r="I444" s="152">
        <f>IF(AND(G444&lt;&gt;"",H444&lt;&gt;""),G444-H444,"")</f>
        <v/>
      </c>
      <c r="J444" s="150" t="n"/>
      <c r="K444" s="150" t="n"/>
      <c r="L444" s="150" t="n"/>
      <c r="M444" s="150" t="n"/>
    </row>
    <row r="445">
      <c r="A445" s="153">
        <f>IF(B445&lt;&gt;"",ROW()-3,"")</f>
        <v/>
      </c>
      <c r="B445" s="153" t="n"/>
      <c r="C445" s="154" t="n"/>
      <c r="D445" s="154" t="n"/>
      <c r="E445" s="153" t="n"/>
      <c r="F445" s="153" t="n"/>
      <c r="G445" s="155" t="n"/>
      <c r="H445" s="155" t="n"/>
      <c r="I445" s="155">
        <f>IF(AND(G445&lt;&gt;"",H445&lt;&gt;""),G445-H445,"")</f>
        <v/>
      </c>
      <c r="J445" s="153" t="n"/>
      <c r="K445" s="153" t="n"/>
      <c r="L445" s="153" t="n"/>
      <c r="M445" s="153" t="n"/>
    </row>
    <row r="446">
      <c r="A446" s="150">
        <f>IF(B446&lt;&gt;"",ROW()-3,"")</f>
        <v/>
      </c>
      <c r="B446" s="150" t="n"/>
      <c r="C446" s="151" t="n"/>
      <c r="D446" s="151" t="n"/>
      <c r="E446" s="150" t="n"/>
      <c r="F446" s="150" t="n"/>
      <c r="G446" s="152" t="n"/>
      <c r="H446" s="152" t="n"/>
      <c r="I446" s="152">
        <f>IF(AND(G446&lt;&gt;"",H446&lt;&gt;""),G446-H446,"")</f>
        <v/>
      </c>
      <c r="J446" s="150" t="n"/>
      <c r="K446" s="150" t="n"/>
      <c r="L446" s="150" t="n"/>
      <c r="M446" s="150" t="n"/>
    </row>
    <row r="447">
      <c r="A447" s="153">
        <f>IF(B447&lt;&gt;"",ROW()-3,"")</f>
        <v/>
      </c>
      <c r="B447" s="153" t="n"/>
      <c r="C447" s="154" t="n"/>
      <c r="D447" s="154" t="n"/>
      <c r="E447" s="153" t="n"/>
      <c r="F447" s="153" t="n"/>
      <c r="G447" s="155" t="n"/>
      <c r="H447" s="155" t="n"/>
      <c r="I447" s="155">
        <f>IF(AND(G447&lt;&gt;"",H447&lt;&gt;""),G447-H447,"")</f>
        <v/>
      </c>
      <c r="J447" s="153" t="n"/>
      <c r="K447" s="153" t="n"/>
      <c r="L447" s="153" t="n"/>
      <c r="M447" s="153" t="n"/>
    </row>
    <row r="448">
      <c r="A448" s="150">
        <f>IF(B448&lt;&gt;"",ROW()-3,"")</f>
        <v/>
      </c>
      <c r="B448" s="150" t="n"/>
      <c r="C448" s="151" t="n"/>
      <c r="D448" s="151" t="n"/>
      <c r="E448" s="150" t="n"/>
      <c r="F448" s="150" t="n"/>
      <c r="G448" s="152" t="n"/>
      <c r="H448" s="152" t="n"/>
      <c r="I448" s="152">
        <f>IF(AND(G448&lt;&gt;"",H448&lt;&gt;""),G448-H448,"")</f>
        <v/>
      </c>
      <c r="J448" s="150" t="n"/>
      <c r="K448" s="150" t="n"/>
      <c r="L448" s="150" t="n"/>
      <c r="M448" s="150" t="n"/>
    </row>
    <row r="449">
      <c r="A449" s="153">
        <f>IF(B449&lt;&gt;"",ROW()-3,"")</f>
        <v/>
      </c>
      <c r="B449" s="153" t="n"/>
      <c r="C449" s="154" t="n"/>
      <c r="D449" s="154" t="n"/>
      <c r="E449" s="153" t="n"/>
      <c r="F449" s="153" t="n"/>
      <c r="G449" s="155" t="n"/>
      <c r="H449" s="155" t="n"/>
      <c r="I449" s="155">
        <f>IF(AND(G449&lt;&gt;"",H449&lt;&gt;""),G449-H449,"")</f>
        <v/>
      </c>
      <c r="J449" s="153" t="n"/>
      <c r="K449" s="153" t="n"/>
      <c r="L449" s="153" t="n"/>
      <c r="M449" s="153" t="n"/>
    </row>
    <row r="450">
      <c r="A450" s="150">
        <f>IF(B450&lt;&gt;"",ROW()-3,"")</f>
        <v/>
      </c>
      <c r="B450" s="150" t="n"/>
      <c r="C450" s="151" t="n"/>
      <c r="D450" s="151" t="n"/>
      <c r="E450" s="150" t="n"/>
      <c r="F450" s="150" t="n"/>
      <c r="G450" s="152" t="n"/>
      <c r="H450" s="152" t="n"/>
      <c r="I450" s="152">
        <f>IF(AND(G450&lt;&gt;"",H450&lt;&gt;""),G450-H450,"")</f>
        <v/>
      </c>
      <c r="J450" s="150" t="n"/>
      <c r="K450" s="150" t="n"/>
      <c r="L450" s="150" t="n"/>
      <c r="M450" s="150" t="n"/>
    </row>
    <row r="451">
      <c r="A451" s="153">
        <f>IF(B451&lt;&gt;"",ROW()-3,"")</f>
        <v/>
      </c>
      <c r="B451" s="153" t="n"/>
      <c r="C451" s="154" t="n"/>
      <c r="D451" s="154" t="n"/>
      <c r="E451" s="153" t="n"/>
      <c r="F451" s="153" t="n"/>
      <c r="G451" s="155" t="n"/>
      <c r="H451" s="155" t="n"/>
      <c r="I451" s="155">
        <f>IF(AND(G451&lt;&gt;"",H451&lt;&gt;""),G451-H451,"")</f>
        <v/>
      </c>
      <c r="J451" s="153" t="n"/>
      <c r="K451" s="153" t="n"/>
      <c r="L451" s="153" t="n"/>
      <c r="M451" s="153" t="n"/>
    </row>
    <row r="452">
      <c r="A452" s="150">
        <f>IF(B452&lt;&gt;"",ROW()-3,"")</f>
        <v/>
      </c>
      <c r="B452" s="150" t="n"/>
      <c r="C452" s="151" t="n"/>
      <c r="D452" s="151" t="n"/>
      <c r="E452" s="150" t="n"/>
      <c r="F452" s="150" t="n"/>
      <c r="G452" s="152" t="n"/>
      <c r="H452" s="152" t="n"/>
      <c r="I452" s="152">
        <f>IF(AND(G452&lt;&gt;"",H452&lt;&gt;""),G452-H452,"")</f>
        <v/>
      </c>
      <c r="J452" s="150" t="n"/>
      <c r="K452" s="150" t="n"/>
      <c r="L452" s="150" t="n"/>
      <c r="M452" s="150" t="n"/>
    </row>
    <row r="453">
      <c r="A453" s="153">
        <f>IF(B453&lt;&gt;"",ROW()-3,"")</f>
        <v/>
      </c>
      <c r="B453" s="153" t="n"/>
      <c r="C453" s="154" t="n"/>
      <c r="D453" s="154" t="n"/>
      <c r="E453" s="153" t="n"/>
      <c r="F453" s="153" t="n"/>
      <c r="G453" s="155" t="n"/>
      <c r="H453" s="155" t="n"/>
      <c r="I453" s="155">
        <f>IF(AND(G453&lt;&gt;"",H453&lt;&gt;""),G453-H453,"")</f>
        <v/>
      </c>
      <c r="J453" s="153" t="n"/>
      <c r="K453" s="153" t="n"/>
      <c r="L453" s="153" t="n"/>
      <c r="M453" s="153" t="n"/>
    </row>
    <row r="454">
      <c r="A454" s="150">
        <f>IF(B454&lt;&gt;"",ROW()-3,"")</f>
        <v/>
      </c>
      <c r="B454" s="150" t="n"/>
      <c r="C454" s="151" t="n"/>
      <c r="D454" s="151" t="n"/>
      <c r="E454" s="150" t="n"/>
      <c r="F454" s="150" t="n"/>
      <c r="G454" s="152" t="n"/>
      <c r="H454" s="152" t="n"/>
      <c r="I454" s="152">
        <f>IF(AND(G454&lt;&gt;"",H454&lt;&gt;""),G454-H454,"")</f>
        <v/>
      </c>
      <c r="J454" s="150" t="n"/>
      <c r="K454" s="150" t="n"/>
      <c r="L454" s="150" t="n"/>
      <c r="M454" s="150" t="n"/>
    </row>
    <row r="455">
      <c r="A455" s="153">
        <f>IF(B455&lt;&gt;"",ROW()-3,"")</f>
        <v/>
      </c>
      <c r="B455" s="153" t="n"/>
      <c r="C455" s="154" t="n"/>
      <c r="D455" s="154" t="n"/>
      <c r="E455" s="153" t="n"/>
      <c r="F455" s="153" t="n"/>
      <c r="G455" s="155" t="n"/>
      <c r="H455" s="155" t="n"/>
      <c r="I455" s="155">
        <f>IF(AND(G455&lt;&gt;"",H455&lt;&gt;""),G455-H455,"")</f>
        <v/>
      </c>
      <c r="J455" s="153" t="n"/>
      <c r="K455" s="153" t="n"/>
      <c r="L455" s="153" t="n"/>
      <c r="M455" s="153" t="n"/>
    </row>
    <row r="456">
      <c r="A456" s="150">
        <f>IF(B456&lt;&gt;"",ROW()-3,"")</f>
        <v/>
      </c>
      <c r="B456" s="150" t="n"/>
      <c r="C456" s="151" t="n"/>
      <c r="D456" s="151" t="n"/>
      <c r="E456" s="150" t="n"/>
      <c r="F456" s="150" t="n"/>
      <c r="G456" s="152" t="n"/>
      <c r="H456" s="152" t="n"/>
      <c r="I456" s="152">
        <f>IF(AND(G456&lt;&gt;"",H456&lt;&gt;""),G456-H456,"")</f>
        <v/>
      </c>
      <c r="J456" s="150" t="n"/>
      <c r="K456" s="150" t="n"/>
      <c r="L456" s="150" t="n"/>
      <c r="M456" s="150" t="n"/>
    </row>
    <row r="457">
      <c r="A457" s="153">
        <f>IF(B457&lt;&gt;"",ROW()-3,"")</f>
        <v/>
      </c>
      <c r="B457" s="153" t="n"/>
      <c r="C457" s="154" t="n"/>
      <c r="D457" s="154" t="n"/>
      <c r="E457" s="153" t="n"/>
      <c r="F457" s="153" t="n"/>
      <c r="G457" s="155" t="n"/>
      <c r="H457" s="155" t="n"/>
      <c r="I457" s="155">
        <f>IF(AND(G457&lt;&gt;"",H457&lt;&gt;""),G457-H457,"")</f>
        <v/>
      </c>
      <c r="J457" s="153" t="n"/>
      <c r="K457" s="153" t="n"/>
      <c r="L457" s="153" t="n"/>
      <c r="M457" s="153" t="n"/>
    </row>
    <row r="458">
      <c r="A458" s="150">
        <f>IF(B458&lt;&gt;"",ROW()-3,"")</f>
        <v/>
      </c>
      <c r="B458" s="150" t="n"/>
      <c r="C458" s="151" t="n"/>
      <c r="D458" s="151" t="n"/>
      <c r="E458" s="150" t="n"/>
      <c r="F458" s="150" t="n"/>
      <c r="G458" s="152" t="n"/>
      <c r="H458" s="152" t="n"/>
      <c r="I458" s="152">
        <f>IF(AND(G458&lt;&gt;"",H458&lt;&gt;""),G458-H458,"")</f>
        <v/>
      </c>
      <c r="J458" s="150" t="n"/>
      <c r="K458" s="150" t="n"/>
      <c r="L458" s="150" t="n"/>
      <c r="M458" s="150" t="n"/>
    </row>
    <row r="459">
      <c r="A459" s="153">
        <f>IF(B459&lt;&gt;"",ROW()-3,"")</f>
        <v/>
      </c>
      <c r="B459" s="153" t="n"/>
      <c r="C459" s="154" t="n"/>
      <c r="D459" s="154" t="n"/>
      <c r="E459" s="153" t="n"/>
      <c r="F459" s="153" t="n"/>
      <c r="G459" s="155" t="n"/>
      <c r="H459" s="155" t="n"/>
      <c r="I459" s="155">
        <f>IF(AND(G459&lt;&gt;"",H459&lt;&gt;""),G459-H459,"")</f>
        <v/>
      </c>
      <c r="J459" s="153" t="n"/>
      <c r="K459" s="153" t="n"/>
      <c r="L459" s="153" t="n"/>
      <c r="M459" s="153" t="n"/>
    </row>
    <row r="460">
      <c r="A460" s="150">
        <f>IF(B460&lt;&gt;"",ROW()-3,"")</f>
        <v/>
      </c>
      <c r="B460" s="150" t="n"/>
      <c r="C460" s="151" t="n"/>
      <c r="D460" s="151" t="n"/>
      <c r="E460" s="150" t="n"/>
      <c r="F460" s="150" t="n"/>
      <c r="G460" s="152" t="n"/>
      <c r="H460" s="152" t="n"/>
      <c r="I460" s="152">
        <f>IF(AND(G460&lt;&gt;"",H460&lt;&gt;""),G460-H460,"")</f>
        <v/>
      </c>
      <c r="J460" s="150" t="n"/>
      <c r="K460" s="150" t="n"/>
      <c r="L460" s="150" t="n"/>
      <c r="M460" s="150" t="n"/>
    </row>
    <row r="461">
      <c r="A461" s="153">
        <f>IF(B461&lt;&gt;"",ROW()-3,"")</f>
        <v/>
      </c>
      <c r="B461" s="153" t="n"/>
      <c r="C461" s="154" t="n"/>
      <c r="D461" s="154" t="n"/>
      <c r="E461" s="153" t="n"/>
      <c r="F461" s="153" t="n"/>
      <c r="G461" s="155" t="n"/>
      <c r="H461" s="155" t="n"/>
      <c r="I461" s="155">
        <f>IF(AND(G461&lt;&gt;"",H461&lt;&gt;""),G461-H461,"")</f>
        <v/>
      </c>
      <c r="J461" s="153" t="n"/>
      <c r="K461" s="153" t="n"/>
      <c r="L461" s="153" t="n"/>
      <c r="M461" s="153" t="n"/>
    </row>
    <row r="462">
      <c r="A462" s="150">
        <f>IF(B462&lt;&gt;"",ROW()-3,"")</f>
        <v/>
      </c>
      <c r="B462" s="150" t="n"/>
      <c r="C462" s="151" t="n"/>
      <c r="D462" s="151" t="n"/>
      <c r="E462" s="150" t="n"/>
      <c r="F462" s="150" t="n"/>
      <c r="G462" s="152" t="n"/>
      <c r="H462" s="152" t="n"/>
      <c r="I462" s="152">
        <f>IF(AND(G462&lt;&gt;"",H462&lt;&gt;""),G462-H462,"")</f>
        <v/>
      </c>
      <c r="J462" s="150" t="n"/>
      <c r="K462" s="150" t="n"/>
      <c r="L462" s="150" t="n"/>
      <c r="M462" s="150" t="n"/>
    </row>
    <row r="463">
      <c r="A463" s="153">
        <f>IF(B463&lt;&gt;"",ROW()-3,"")</f>
        <v/>
      </c>
      <c r="B463" s="153" t="n"/>
      <c r="C463" s="154" t="n"/>
      <c r="D463" s="154" t="n"/>
      <c r="E463" s="153" t="n"/>
      <c r="F463" s="153" t="n"/>
      <c r="G463" s="155" t="n"/>
      <c r="H463" s="155" t="n"/>
      <c r="I463" s="155">
        <f>IF(AND(G463&lt;&gt;"",H463&lt;&gt;""),G463-H463,"")</f>
        <v/>
      </c>
      <c r="J463" s="153" t="n"/>
      <c r="K463" s="153" t="n"/>
      <c r="L463" s="153" t="n"/>
      <c r="M463" s="153" t="n"/>
    </row>
    <row r="464">
      <c r="A464" s="150">
        <f>IF(B464&lt;&gt;"",ROW()-3,"")</f>
        <v/>
      </c>
      <c r="B464" s="150" t="n"/>
      <c r="C464" s="151" t="n"/>
      <c r="D464" s="151" t="n"/>
      <c r="E464" s="150" t="n"/>
      <c r="F464" s="150" t="n"/>
      <c r="G464" s="152" t="n"/>
      <c r="H464" s="152" t="n"/>
      <c r="I464" s="152">
        <f>IF(AND(G464&lt;&gt;"",H464&lt;&gt;""),G464-H464,"")</f>
        <v/>
      </c>
      <c r="J464" s="150" t="n"/>
      <c r="K464" s="150" t="n"/>
      <c r="L464" s="150" t="n"/>
      <c r="M464" s="150" t="n"/>
    </row>
    <row r="465">
      <c r="A465" s="153">
        <f>IF(B465&lt;&gt;"",ROW()-3,"")</f>
        <v/>
      </c>
      <c r="B465" s="153" t="n"/>
      <c r="C465" s="154" t="n"/>
      <c r="D465" s="154" t="n"/>
      <c r="E465" s="153" t="n"/>
      <c r="F465" s="153" t="n"/>
      <c r="G465" s="155" t="n"/>
      <c r="H465" s="155" t="n"/>
      <c r="I465" s="155">
        <f>IF(AND(G465&lt;&gt;"",H465&lt;&gt;""),G465-H465,"")</f>
        <v/>
      </c>
      <c r="J465" s="153" t="n"/>
      <c r="K465" s="153" t="n"/>
      <c r="L465" s="153" t="n"/>
      <c r="M465" s="153" t="n"/>
    </row>
    <row r="466">
      <c r="A466" s="150">
        <f>IF(B466&lt;&gt;"",ROW()-3,"")</f>
        <v/>
      </c>
      <c r="B466" s="150" t="n"/>
      <c r="C466" s="151" t="n"/>
      <c r="D466" s="151" t="n"/>
      <c r="E466" s="150" t="n"/>
      <c r="F466" s="150" t="n"/>
      <c r="G466" s="152" t="n"/>
      <c r="H466" s="152" t="n"/>
      <c r="I466" s="152">
        <f>IF(AND(G466&lt;&gt;"",H466&lt;&gt;""),G466-H466,"")</f>
        <v/>
      </c>
      <c r="J466" s="150" t="n"/>
      <c r="K466" s="150" t="n"/>
      <c r="L466" s="150" t="n"/>
      <c r="M466" s="150" t="n"/>
    </row>
    <row r="467">
      <c r="A467" s="153">
        <f>IF(B467&lt;&gt;"",ROW()-3,"")</f>
        <v/>
      </c>
      <c r="B467" s="153" t="n"/>
      <c r="C467" s="154" t="n"/>
      <c r="D467" s="154" t="n"/>
      <c r="E467" s="153" t="n"/>
      <c r="F467" s="153" t="n"/>
      <c r="G467" s="155" t="n"/>
      <c r="H467" s="155" t="n"/>
      <c r="I467" s="155">
        <f>IF(AND(G467&lt;&gt;"",H467&lt;&gt;""),G467-H467,"")</f>
        <v/>
      </c>
      <c r="J467" s="153" t="n"/>
      <c r="K467" s="153" t="n"/>
      <c r="L467" s="153" t="n"/>
      <c r="M467" s="153" t="n"/>
    </row>
    <row r="468">
      <c r="A468" s="150">
        <f>IF(B468&lt;&gt;"",ROW()-3,"")</f>
        <v/>
      </c>
      <c r="B468" s="150" t="n"/>
      <c r="C468" s="151" t="n"/>
      <c r="D468" s="151" t="n"/>
      <c r="E468" s="150" t="n"/>
      <c r="F468" s="150" t="n"/>
      <c r="G468" s="152" t="n"/>
      <c r="H468" s="152" t="n"/>
      <c r="I468" s="152">
        <f>IF(AND(G468&lt;&gt;"",H468&lt;&gt;""),G468-H468,"")</f>
        <v/>
      </c>
      <c r="J468" s="150" t="n"/>
      <c r="K468" s="150" t="n"/>
      <c r="L468" s="150" t="n"/>
      <c r="M468" s="150" t="n"/>
    </row>
    <row r="469">
      <c r="A469" s="153">
        <f>IF(B469&lt;&gt;"",ROW()-3,"")</f>
        <v/>
      </c>
      <c r="B469" s="153" t="n"/>
      <c r="C469" s="154" t="n"/>
      <c r="D469" s="154" t="n"/>
      <c r="E469" s="153" t="n"/>
      <c r="F469" s="153" t="n"/>
      <c r="G469" s="155" t="n"/>
      <c r="H469" s="155" t="n"/>
      <c r="I469" s="155">
        <f>IF(AND(G469&lt;&gt;"",H469&lt;&gt;""),G469-H469,"")</f>
        <v/>
      </c>
      <c r="J469" s="153" t="n"/>
      <c r="K469" s="153" t="n"/>
      <c r="L469" s="153" t="n"/>
      <c r="M469" s="153" t="n"/>
    </row>
    <row r="470">
      <c r="A470" s="150">
        <f>IF(B470&lt;&gt;"",ROW()-3,"")</f>
        <v/>
      </c>
      <c r="B470" s="150" t="n"/>
      <c r="C470" s="151" t="n"/>
      <c r="D470" s="151" t="n"/>
      <c r="E470" s="150" t="n"/>
      <c r="F470" s="150" t="n"/>
      <c r="G470" s="152" t="n"/>
      <c r="H470" s="152" t="n"/>
      <c r="I470" s="152">
        <f>IF(AND(G470&lt;&gt;"",H470&lt;&gt;""),G470-H470,"")</f>
        <v/>
      </c>
      <c r="J470" s="150" t="n"/>
      <c r="K470" s="150" t="n"/>
      <c r="L470" s="150" t="n"/>
      <c r="M470" s="150" t="n"/>
    </row>
    <row r="471">
      <c r="A471" s="153">
        <f>IF(B471&lt;&gt;"",ROW()-3,"")</f>
        <v/>
      </c>
      <c r="B471" s="153" t="n"/>
      <c r="C471" s="154" t="n"/>
      <c r="D471" s="154" t="n"/>
      <c r="E471" s="153" t="n"/>
      <c r="F471" s="153" t="n"/>
      <c r="G471" s="155" t="n"/>
      <c r="H471" s="155" t="n"/>
      <c r="I471" s="155">
        <f>IF(AND(G471&lt;&gt;"",H471&lt;&gt;""),G471-H471,"")</f>
        <v/>
      </c>
      <c r="J471" s="153" t="n"/>
      <c r="K471" s="153" t="n"/>
      <c r="L471" s="153" t="n"/>
      <c r="M471" s="153" t="n"/>
    </row>
    <row r="472">
      <c r="A472" s="150">
        <f>IF(B472&lt;&gt;"",ROW()-3,"")</f>
        <v/>
      </c>
      <c r="B472" s="150" t="n"/>
      <c r="C472" s="151" t="n"/>
      <c r="D472" s="151" t="n"/>
      <c r="E472" s="150" t="n"/>
      <c r="F472" s="150" t="n"/>
      <c r="G472" s="152" t="n"/>
      <c r="H472" s="152" t="n"/>
      <c r="I472" s="152">
        <f>IF(AND(G472&lt;&gt;"",H472&lt;&gt;""),G472-H472,"")</f>
        <v/>
      </c>
      <c r="J472" s="150" t="n"/>
      <c r="K472" s="150" t="n"/>
      <c r="L472" s="150" t="n"/>
      <c r="M472" s="150" t="n"/>
    </row>
    <row r="473">
      <c r="A473" s="153">
        <f>IF(B473&lt;&gt;"",ROW()-3,"")</f>
        <v/>
      </c>
      <c r="B473" s="153" t="n"/>
      <c r="C473" s="154" t="n"/>
      <c r="D473" s="154" t="n"/>
      <c r="E473" s="153" t="n"/>
      <c r="F473" s="153" t="n"/>
      <c r="G473" s="155" t="n"/>
      <c r="H473" s="155" t="n"/>
      <c r="I473" s="155">
        <f>IF(AND(G473&lt;&gt;"",H473&lt;&gt;""),G473-H473,"")</f>
        <v/>
      </c>
      <c r="J473" s="153" t="n"/>
      <c r="K473" s="153" t="n"/>
      <c r="L473" s="153" t="n"/>
      <c r="M473" s="153" t="n"/>
    </row>
    <row r="474">
      <c r="A474" s="150">
        <f>IF(B474&lt;&gt;"",ROW()-3,"")</f>
        <v/>
      </c>
      <c r="B474" s="150" t="n"/>
      <c r="C474" s="151" t="n"/>
      <c r="D474" s="151" t="n"/>
      <c r="E474" s="150" t="n"/>
      <c r="F474" s="150" t="n"/>
      <c r="G474" s="152" t="n"/>
      <c r="H474" s="152" t="n"/>
      <c r="I474" s="152">
        <f>IF(AND(G474&lt;&gt;"",H474&lt;&gt;""),G474-H474,"")</f>
        <v/>
      </c>
      <c r="J474" s="150" t="n"/>
      <c r="K474" s="150" t="n"/>
      <c r="L474" s="150" t="n"/>
      <c r="M474" s="150" t="n"/>
    </row>
    <row r="475">
      <c r="A475" s="153">
        <f>IF(B475&lt;&gt;"",ROW()-3,"")</f>
        <v/>
      </c>
      <c r="B475" s="153" t="n"/>
      <c r="C475" s="154" t="n"/>
      <c r="D475" s="154" t="n"/>
      <c r="E475" s="153" t="n"/>
      <c r="F475" s="153" t="n"/>
      <c r="G475" s="155" t="n"/>
      <c r="H475" s="155" t="n"/>
      <c r="I475" s="155">
        <f>IF(AND(G475&lt;&gt;"",H475&lt;&gt;""),G475-H475,"")</f>
        <v/>
      </c>
      <c r="J475" s="153" t="n"/>
      <c r="K475" s="153" t="n"/>
      <c r="L475" s="153" t="n"/>
      <c r="M475" s="153" t="n"/>
    </row>
    <row r="476">
      <c r="A476" s="150">
        <f>IF(B476&lt;&gt;"",ROW()-3,"")</f>
        <v/>
      </c>
      <c r="B476" s="150" t="n"/>
      <c r="C476" s="151" t="n"/>
      <c r="D476" s="151" t="n"/>
      <c r="E476" s="150" t="n"/>
      <c r="F476" s="150" t="n"/>
      <c r="G476" s="152" t="n"/>
      <c r="H476" s="152" t="n"/>
      <c r="I476" s="152">
        <f>IF(AND(G476&lt;&gt;"",H476&lt;&gt;""),G476-H476,"")</f>
        <v/>
      </c>
      <c r="J476" s="150" t="n"/>
      <c r="K476" s="150" t="n"/>
      <c r="L476" s="150" t="n"/>
      <c r="M476" s="150" t="n"/>
    </row>
    <row r="477">
      <c r="A477" s="153">
        <f>IF(B477&lt;&gt;"",ROW()-3,"")</f>
        <v/>
      </c>
      <c r="B477" s="153" t="n"/>
      <c r="C477" s="154" t="n"/>
      <c r="D477" s="154" t="n"/>
      <c r="E477" s="153" t="n"/>
      <c r="F477" s="153" t="n"/>
      <c r="G477" s="155" t="n"/>
      <c r="H477" s="155" t="n"/>
      <c r="I477" s="155">
        <f>IF(AND(G477&lt;&gt;"",H477&lt;&gt;""),G477-H477,"")</f>
        <v/>
      </c>
      <c r="J477" s="153" t="n"/>
      <c r="K477" s="153" t="n"/>
      <c r="L477" s="153" t="n"/>
      <c r="M477" s="153" t="n"/>
    </row>
    <row r="478">
      <c r="A478" s="150">
        <f>IF(B478&lt;&gt;"",ROW()-3,"")</f>
        <v/>
      </c>
      <c r="B478" s="150" t="n"/>
      <c r="C478" s="151" t="n"/>
      <c r="D478" s="151" t="n"/>
      <c r="E478" s="150" t="n"/>
      <c r="F478" s="150" t="n"/>
      <c r="G478" s="152" t="n"/>
      <c r="H478" s="152" t="n"/>
      <c r="I478" s="152">
        <f>IF(AND(G478&lt;&gt;"",H478&lt;&gt;""),G478-H478,"")</f>
        <v/>
      </c>
      <c r="J478" s="150" t="n"/>
      <c r="K478" s="150" t="n"/>
      <c r="L478" s="150" t="n"/>
      <c r="M478" s="150" t="n"/>
    </row>
    <row r="479">
      <c r="A479" s="153">
        <f>IF(B479&lt;&gt;"",ROW()-3,"")</f>
        <v/>
      </c>
      <c r="B479" s="153" t="n"/>
      <c r="C479" s="154" t="n"/>
      <c r="D479" s="154" t="n"/>
      <c r="E479" s="153" t="n"/>
      <c r="F479" s="153" t="n"/>
      <c r="G479" s="155" t="n"/>
      <c r="H479" s="155" t="n"/>
      <c r="I479" s="155">
        <f>IF(AND(G479&lt;&gt;"",H479&lt;&gt;""),G479-H479,"")</f>
        <v/>
      </c>
      <c r="J479" s="153" t="n"/>
      <c r="K479" s="153" t="n"/>
      <c r="L479" s="153" t="n"/>
      <c r="M479" s="153" t="n"/>
    </row>
    <row r="480">
      <c r="A480" s="150">
        <f>IF(B480&lt;&gt;"",ROW()-3,"")</f>
        <v/>
      </c>
      <c r="B480" s="150" t="n"/>
      <c r="C480" s="151" t="n"/>
      <c r="D480" s="151" t="n"/>
      <c r="E480" s="150" t="n"/>
      <c r="F480" s="150" t="n"/>
      <c r="G480" s="152" t="n"/>
      <c r="H480" s="152" t="n"/>
      <c r="I480" s="152">
        <f>IF(AND(G480&lt;&gt;"",H480&lt;&gt;""),G480-H480,"")</f>
        <v/>
      </c>
      <c r="J480" s="150" t="n"/>
      <c r="K480" s="150" t="n"/>
      <c r="L480" s="150" t="n"/>
      <c r="M480" s="150" t="n"/>
    </row>
    <row r="481">
      <c r="A481" s="153">
        <f>IF(B481&lt;&gt;"",ROW()-3,"")</f>
        <v/>
      </c>
      <c r="B481" s="153" t="n"/>
      <c r="C481" s="154" t="n"/>
      <c r="D481" s="154" t="n"/>
      <c r="E481" s="153" t="n"/>
      <c r="F481" s="153" t="n"/>
      <c r="G481" s="155" t="n"/>
      <c r="H481" s="155" t="n"/>
      <c r="I481" s="155">
        <f>IF(AND(G481&lt;&gt;"",H481&lt;&gt;""),G481-H481,"")</f>
        <v/>
      </c>
      <c r="J481" s="153" t="n"/>
      <c r="K481" s="153" t="n"/>
      <c r="L481" s="153" t="n"/>
      <c r="M481" s="153" t="n"/>
    </row>
    <row r="482">
      <c r="A482" s="150">
        <f>IF(B482&lt;&gt;"",ROW()-3,"")</f>
        <v/>
      </c>
      <c r="B482" s="150" t="n"/>
      <c r="C482" s="151" t="n"/>
      <c r="D482" s="151" t="n"/>
      <c r="E482" s="150" t="n"/>
      <c r="F482" s="150" t="n"/>
      <c r="G482" s="152" t="n"/>
      <c r="H482" s="152" t="n"/>
      <c r="I482" s="152">
        <f>IF(AND(G482&lt;&gt;"",H482&lt;&gt;""),G482-H482,"")</f>
        <v/>
      </c>
      <c r="J482" s="150" t="n"/>
      <c r="K482" s="150" t="n"/>
      <c r="L482" s="150" t="n"/>
      <c r="M482" s="150" t="n"/>
    </row>
    <row r="483">
      <c r="A483" s="153">
        <f>IF(B483&lt;&gt;"",ROW()-3,"")</f>
        <v/>
      </c>
      <c r="B483" s="153" t="n"/>
      <c r="C483" s="154" t="n"/>
      <c r="D483" s="154" t="n"/>
      <c r="E483" s="153" t="n"/>
      <c r="F483" s="153" t="n"/>
      <c r="G483" s="155" t="n"/>
      <c r="H483" s="155" t="n"/>
      <c r="I483" s="155">
        <f>IF(AND(G483&lt;&gt;"",H483&lt;&gt;""),G483-H483,"")</f>
        <v/>
      </c>
      <c r="J483" s="153" t="n"/>
      <c r="K483" s="153" t="n"/>
      <c r="L483" s="153" t="n"/>
      <c r="M483" s="153" t="n"/>
    </row>
    <row r="484">
      <c r="A484" s="150">
        <f>IF(B484&lt;&gt;"",ROW()-3,"")</f>
        <v/>
      </c>
      <c r="B484" s="150" t="n"/>
      <c r="C484" s="151" t="n"/>
      <c r="D484" s="151" t="n"/>
      <c r="E484" s="150" t="n"/>
      <c r="F484" s="150" t="n"/>
      <c r="G484" s="152" t="n"/>
      <c r="H484" s="152" t="n"/>
      <c r="I484" s="152">
        <f>IF(AND(G484&lt;&gt;"",H484&lt;&gt;""),G484-H484,"")</f>
        <v/>
      </c>
      <c r="J484" s="150" t="n"/>
      <c r="K484" s="150" t="n"/>
      <c r="L484" s="150" t="n"/>
      <c r="M484" s="150" t="n"/>
    </row>
    <row r="485">
      <c r="A485" s="153">
        <f>IF(B485&lt;&gt;"",ROW()-3,"")</f>
        <v/>
      </c>
      <c r="B485" s="153" t="n"/>
      <c r="C485" s="154" t="n"/>
      <c r="D485" s="154" t="n"/>
      <c r="E485" s="153" t="n"/>
      <c r="F485" s="153" t="n"/>
      <c r="G485" s="155" t="n"/>
      <c r="H485" s="155" t="n"/>
      <c r="I485" s="155">
        <f>IF(AND(G485&lt;&gt;"",H485&lt;&gt;""),G485-H485,"")</f>
        <v/>
      </c>
      <c r="J485" s="153" t="n"/>
      <c r="K485" s="153" t="n"/>
      <c r="L485" s="153" t="n"/>
      <c r="M485" s="153" t="n"/>
    </row>
    <row r="486">
      <c r="A486" s="150">
        <f>IF(B486&lt;&gt;"",ROW()-3,"")</f>
        <v/>
      </c>
      <c r="B486" s="150" t="n"/>
      <c r="C486" s="151" t="n"/>
      <c r="D486" s="151" t="n"/>
      <c r="E486" s="150" t="n"/>
      <c r="F486" s="150" t="n"/>
      <c r="G486" s="152" t="n"/>
      <c r="H486" s="152" t="n"/>
      <c r="I486" s="152">
        <f>IF(AND(G486&lt;&gt;"",H486&lt;&gt;""),G486-H486,"")</f>
        <v/>
      </c>
      <c r="J486" s="150" t="n"/>
      <c r="K486" s="150" t="n"/>
      <c r="L486" s="150" t="n"/>
      <c r="M486" s="150" t="n"/>
    </row>
    <row r="487">
      <c r="A487" s="153">
        <f>IF(B487&lt;&gt;"",ROW()-3,"")</f>
        <v/>
      </c>
      <c r="B487" s="153" t="n"/>
      <c r="C487" s="154" t="n"/>
      <c r="D487" s="154" t="n"/>
      <c r="E487" s="153" t="n"/>
      <c r="F487" s="153" t="n"/>
      <c r="G487" s="155" t="n"/>
      <c r="H487" s="155" t="n"/>
      <c r="I487" s="155">
        <f>IF(AND(G487&lt;&gt;"",H487&lt;&gt;""),G487-H487,"")</f>
        <v/>
      </c>
      <c r="J487" s="153" t="n"/>
      <c r="K487" s="153" t="n"/>
      <c r="L487" s="153" t="n"/>
      <c r="M487" s="153" t="n"/>
    </row>
    <row r="488">
      <c r="A488" s="150">
        <f>IF(B488&lt;&gt;"",ROW()-3,"")</f>
        <v/>
      </c>
      <c r="B488" s="150" t="n"/>
      <c r="C488" s="151" t="n"/>
      <c r="D488" s="151" t="n"/>
      <c r="E488" s="150" t="n"/>
      <c r="F488" s="150" t="n"/>
      <c r="G488" s="152" t="n"/>
      <c r="H488" s="152" t="n"/>
      <c r="I488" s="152">
        <f>IF(AND(G488&lt;&gt;"",H488&lt;&gt;""),G488-H488,"")</f>
        <v/>
      </c>
      <c r="J488" s="150" t="n"/>
      <c r="K488" s="150" t="n"/>
      <c r="L488" s="150" t="n"/>
      <c r="M488" s="150" t="n"/>
    </row>
    <row r="489">
      <c r="A489" s="153">
        <f>IF(B489&lt;&gt;"",ROW()-3,"")</f>
        <v/>
      </c>
      <c r="B489" s="153" t="n"/>
      <c r="C489" s="154" t="n"/>
      <c r="D489" s="154" t="n"/>
      <c r="E489" s="153" t="n"/>
      <c r="F489" s="153" t="n"/>
      <c r="G489" s="155" t="n"/>
      <c r="H489" s="155" t="n"/>
      <c r="I489" s="155">
        <f>IF(AND(G489&lt;&gt;"",H489&lt;&gt;""),G489-H489,"")</f>
        <v/>
      </c>
      <c r="J489" s="153" t="n"/>
      <c r="K489" s="153" t="n"/>
      <c r="L489" s="153" t="n"/>
      <c r="M489" s="153" t="n"/>
    </row>
    <row r="490">
      <c r="A490" s="150">
        <f>IF(B490&lt;&gt;"",ROW()-3,"")</f>
        <v/>
      </c>
      <c r="B490" s="150" t="n"/>
      <c r="C490" s="151" t="n"/>
      <c r="D490" s="151" t="n"/>
      <c r="E490" s="150" t="n"/>
      <c r="F490" s="150" t="n"/>
      <c r="G490" s="152" t="n"/>
      <c r="H490" s="152" t="n"/>
      <c r="I490" s="152">
        <f>IF(AND(G490&lt;&gt;"",H490&lt;&gt;""),G490-H490,"")</f>
        <v/>
      </c>
      <c r="J490" s="150" t="n"/>
      <c r="K490" s="150" t="n"/>
      <c r="L490" s="150" t="n"/>
      <c r="M490" s="150" t="n"/>
    </row>
    <row r="491">
      <c r="A491" s="153">
        <f>IF(B491&lt;&gt;"",ROW()-3,"")</f>
        <v/>
      </c>
      <c r="B491" s="153" t="n"/>
      <c r="C491" s="154" t="n"/>
      <c r="D491" s="154" t="n"/>
      <c r="E491" s="153" t="n"/>
      <c r="F491" s="153" t="n"/>
      <c r="G491" s="155" t="n"/>
      <c r="H491" s="155" t="n"/>
      <c r="I491" s="155">
        <f>IF(AND(G491&lt;&gt;"",H491&lt;&gt;""),G491-H491,"")</f>
        <v/>
      </c>
      <c r="J491" s="153" t="n"/>
      <c r="K491" s="153" t="n"/>
      <c r="L491" s="153" t="n"/>
      <c r="M491" s="153" t="n"/>
    </row>
    <row r="492">
      <c r="A492" s="150">
        <f>IF(B492&lt;&gt;"",ROW()-3,"")</f>
        <v/>
      </c>
      <c r="B492" s="150" t="n"/>
      <c r="C492" s="151" t="n"/>
      <c r="D492" s="151" t="n"/>
      <c r="E492" s="150" t="n"/>
      <c r="F492" s="150" t="n"/>
      <c r="G492" s="152" t="n"/>
      <c r="H492" s="152" t="n"/>
      <c r="I492" s="152">
        <f>IF(AND(G492&lt;&gt;"",H492&lt;&gt;""),G492-H492,"")</f>
        <v/>
      </c>
      <c r="J492" s="150" t="n"/>
      <c r="K492" s="150" t="n"/>
      <c r="L492" s="150" t="n"/>
      <c r="M492" s="150" t="n"/>
    </row>
    <row r="493">
      <c r="A493" s="153">
        <f>IF(B493&lt;&gt;"",ROW()-3,"")</f>
        <v/>
      </c>
      <c r="B493" s="153" t="n"/>
      <c r="C493" s="154" t="n"/>
      <c r="D493" s="154" t="n"/>
      <c r="E493" s="153" t="n"/>
      <c r="F493" s="153" t="n"/>
      <c r="G493" s="155" t="n"/>
      <c r="H493" s="155" t="n"/>
      <c r="I493" s="155">
        <f>IF(AND(G493&lt;&gt;"",H493&lt;&gt;""),G493-H493,"")</f>
        <v/>
      </c>
      <c r="J493" s="153" t="n"/>
      <c r="K493" s="153" t="n"/>
      <c r="L493" s="153" t="n"/>
      <c r="M493" s="153" t="n"/>
    </row>
    <row r="494">
      <c r="A494" s="150">
        <f>IF(B494&lt;&gt;"",ROW()-3,"")</f>
        <v/>
      </c>
      <c r="B494" s="150" t="n"/>
      <c r="C494" s="151" t="n"/>
      <c r="D494" s="151" t="n"/>
      <c r="E494" s="150" t="n"/>
      <c r="F494" s="150" t="n"/>
      <c r="G494" s="152" t="n"/>
      <c r="H494" s="152" t="n"/>
      <c r="I494" s="152">
        <f>IF(AND(G494&lt;&gt;"",H494&lt;&gt;""),G494-H494,"")</f>
        <v/>
      </c>
      <c r="J494" s="150" t="n"/>
      <c r="K494" s="150" t="n"/>
      <c r="L494" s="150" t="n"/>
      <c r="M494" s="150" t="n"/>
    </row>
    <row r="495">
      <c r="A495" s="153">
        <f>IF(B495&lt;&gt;"",ROW()-3,"")</f>
        <v/>
      </c>
      <c r="B495" s="153" t="n"/>
      <c r="C495" s="154" t="n"/>
      <c r="D495" s="154" t="n"/>
      <c r="E495" s="153" t="n"/>
      <c r="F495" s="153" t="n"/>
      <c r="G495" s="155" t="n"/>
      <c r="H495" s="155" t="n"/>
      <c r="I495" s="155">
        <f>IF(AND(G495&lt;&gt;"",H495&lt;&gt;""),G495-H495,"")</f>
        <v/>
      </c>
      <c r="J495" s="153" t="n"/>
      <c r="K495" s="153" t="n"/>
      <c r="L495" s="153" t="n"/>
      <c r="M495" s="153" t="n"/>
    </row>
    <row r="496">
      <c r="A496" s="150">
        <f>IF(B496&lt;&gt;"",ROW()-3,"")</f>
        <v/>
      </c>
      <c r="B496" s="150" t="n"/>
      <c r="C496" s="151" t="n"/>
      <c r="D496" s="151" t="n"/>
      <c r="E496" s="150" t="n"/>
      <c r="F496" s="150" t="n"/>
      <c r="G496" s="152" t="n"/>
      <c r="H496" s="152" t="n"/>
      <c r="I496" s="152">
        <f>IF(AND(G496&lt;&gt;"",H496&lt;&gt;""),G496-H496,"")</f>
        <v/>
      </c>
      <c r="J496" s="150" t="n"/>
      <c r="K496" s="150" t="n"/>
      <c r="L496" s="150" t="n"/>
      <c r="M496" s="150" t="n"/>
    </row>
    <row r="497">
      <c r="A497" s="153">
        <f>IF(B497&lt;&gt;"",ROW()-3,"")</f>
        <v/>
      </c>
      <c r="B497" s="153" t="n"/>
      <c r="C497" s="154" t="n"/>
      <c r="D497" s="154" t="n"/>
      <c r="E497" s="153" t="n"/>
      <c r="F497" s="153" t="n"/>
      <c r="G497" s="155" t="n"/>
      <c r="H497" s="155" t="n"/>
      <c r="I497" s="155">
        <f>IF(AND(G497&lt;&gt;"",H497&lt;&gt;""),G497-H497,"")</f>
        <v/>
      </c>
      <c r="J497" s="153" t="n"/>
      <c r="K497" s="153" t="n"/>
      <c r="L497" s="153" t="n"/>
      <c r="M497" s="153" t="n"/>
    </row>
    <row r="498">
      <c r="A498" s="150">
        <f>IF(B498&lt;&gt;"",ROW()-3,"")</f>
        <v/>
      </c>
      <c r="B498" s="150" t="n"/>
      <c r="C498" s="151" t="n"/>
      <c r="D498" s="151" t="n"/>
      <c r="E498" s="150" t="n"/>
      <c r="F498" s="150" t="n"/>
      <c r="G498" s="152" t="n"/>
      <c r="H498" s="152" t="n"/>
      <c r="I498" s="152">
        <f>IF(AND(G498&lt;&gt;"",H498&lt;&gt;""),G498-H498,"")</f>
        <v/>
      </c>
      <c r="J498" s="150" t="n"/>
      <c r="K498" s="150" t="n"/>
      <c r="L498" s="150" t="n"/>
      <c r="M498" s="150" t="n"/>
    </row>
    <row r="499">
      <c r="A499" s="153">
        <f>IF(B499&lt;&gt;"",ROW()-3,"")</f>
        <v/>
      </c>
      <c r="B499" s="153" t="n"/>
      <c r="C499" s="154" t="n"/>
      <c r="D499" s="154" t="n"/>
      <c r="E499" s="153" t="n"/>
      <c r="F499" s="153" t="n"/>
      <c r="G499" s="155" t="n"/>
      <c r="H499" s="155" t="n"/>
      <c r="I499" s="155">
        <f>IF(AND(G499&lt;&gt;"",H499&lt;&gt;""),G499-H499,"")</f>
        <v/>
      </c>
      <c r="J499" s="153" t="n"/>
      <c r="K499" s="153" t="n"/>
      <c r="L499" s="153" t="n"/>
      <c r="M499" s="153" t="n"/>
    </row>
    <row r="500">
      <c r="A500" s="150">
        <f>IF(B500&lt;&gt;"",ROW()-3,"")</f>
        <v/>
      </c>
      <c r="B500" s="150" t="n"/>
      <c r="C500" s="151" t="n"/>
      <c r="D500" s="151" t="n"/>
      <c r="E500" s="150" t="n"/>
      <c r="F500" s="150" t="n"/>
      <c r="G500" s="152" t="n"/>
      <c r="H500" s="152" t="n"/>
      <c r="I500" s="152">
        <f>IF(AND(G500&lt;&gt;"",H500&lt;&gt;""),G500-H500,"")</f>
        <v/>
      </c>
      <c r="J500" s="150" t="n"/>
      <c r="K500" s="150" t="n"/>
      <c r="L500" s="150" t="n"/>
      <c r="M500" s="150" t="n"/>
    </row>
  </sheetData>
  <mergeCells count="1">
    <mergeCell ref="A1:M1"/>
  </mergeCells>
  <conditionalFormatting sqref="J4:J500">
    <cfRule type="containsText" priority="1" operator="containsText" dxfId="2" text="Pendente">
      <formula>NOT(ISERROR(SEARCH("Pendente",J4)))</formula>
    </cfRule>
    <cfRule type="containsText" priority="2" operator="containsText" dxfId="0" text="Assinado">
      <formula>NOT(ISERROR(SEARCH("Assinado",J4)))</formula>
    </cfRule>
  </conditionalFormatting>
  <dataValidations count="3">
    <dataValidation sqref="J4:J500" showDropDown="0" showInputMessage="0" showErrorMessage="0" allowBlank="0" type="list">
      <formula1>"✅ Assinado,❌ Pendente,📱 Digital,🖊️ Físico"</formula1>
    </dataValidation>
    <dataValidation sqref="K4:K500" showDropDown="0" showInputMessage="0" showErrorMessage="0" allowBlank="0" type="list">
      <formula1>"PIX,Cartão Crédito,Cartão Débito,Dinheiro,Parcelado"</formula1>
    </dataValidation>
    <dataValidation sqref="L4:L500" showDropDown="0" showInputMessage="0" showErrorMessage="0" allowBlank="0" type="list">
      <formula1>"✅ Registrada,❌ Pendente,Não Aplicável"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498DB"/>
    <outlinePr summaryBelow="1" summaryRight="1"/>
    <pageSetUpPr/>
  </sheetPr>
  <dimension ref="A1:S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5" max="5"/>
    <col width="7" customWidth="1" min="6" max="6"/>
    <col width="7" customWidth="1" min="7" max="7"/>
    <col width="7" customWidth="1" min="9" max="9"/>
    <col width="7" customWidth="1" min="10" max="10"/>
    <col width="7" customWidth="1" min="11" max="11"/>
    <col width="7" customWidth="1" min="13" max="13"/>
    <col width="7" customWidth="1" min="14" max="14"/>
    <col width="7" customWidth="1" min="15" max="15"/>
    <col width="7" customWidth="1" min="17" max="17"/>
    <col width="7" customWidth="1" min="18" max="18"/>
    <col width="7" customWidth="1" min="19" max="19"/>
  </cols>
  <sheetData>
    <row r="1" ht="32" customHeight="1">
      <c r="A1" s="149" t="inlineStr">
        <is>
          <t>📊  RELATÓRIO DE PERFORMANCE — CENTRAL TATTOO</t>
        </is>
      </c>
    </row>
    <row r="2" ht="14" customHeight="1"/>
    <row r="3" ht="26" customHeight="1">
      <c r="A3" s="156" t="inlineStr">
        <is>
          <t>📅 MÊS:</t>
        </is>
      </c>
      <c r="B3" s="157">
        <f>TEXT(TODAY(),"MMMM / YYYY")</f>
        <v/>
      </c>
    </row>
    <row r="5" ht="20" customHeight="1"/>
    <row r="6" ht="28" customHeight="1">
      <c r="A6" s="118" t="inlineStr">
        <is>
          <t>💰 FATURAMENTO</t>
        </is>
      </c>
      <c r="E6" s="158" t="inlineStr">
        <is>
          <t>📉 DESPESAS</t>
        </is>
      </c>
      <c r="I6" s="159" t="inlineStr">
        <is>
          <t>💎 LUCRO</t>
        </is>
      </c>
      <c r="M6" s="160" t="inlineStr">
        <is>
          <t>🎯 SESSÕES</t>
        </is>
      </c>
      <c r="Q6" s="161" t="inlineStr">
        <is>
          <t>👥 LEADS NOVOS</t>
        </is>
      </c>
    </row>
    <row r="7" ht="38" customHeight="1">
      <c r="A7" s="162">
        <f>SUMIF('📅 Agenda'!F4:F400,"*Concluído*",'📅 Agenda'!G4:G400)</f>
        <v/>
      </c>
      <c r="E7" s="163">
        <f>SUMIF('💰 Financeiro'!C10:C500,"Fixo",'💰 Financeiro'!D10:D500)+SUMIF('💰 Financeiro'!C10:C500,"Custo Variável",'💰 Financeiro'!D10:D500)</f>
        <v/>
      </c>
      <c r="I7" s="164">
        <f>B7-F7</f>
        <v/>
      </c>
      <c r="M7" s="165">
        <f>COUNTIF('📅 Agenda'!F4:F400,"*Concluído*")</f>
        <v/>
      </c>
      <c r="Q7" s="166">
        <f>COUNTA('🎯 Leads'!B9:B208)</f>
        <v/>
      </c>
    </row>
    <row r="8" ht="20" customHeight="1"/>
    <row r="11" ht="24" customHeight="1">
      <c r="A11" s="157" t="inlineStr">
        <is>
          <t>🏆 TOP ESTILOS DO MÊS</t>
        </is>
      </c>
    </row>
    <row r="12" ht="20" customHeight="1">
      <c r="A12" s="125" t="inlineStr">
        <is>
          <t>Realismo</t>
        </is>
      </c>
      <c r="C12" s="157">
        <f>COUNTIF('📅 Agenda'!E4:E400,"Realismo")</f>
        <v/>
      </c>
    </row>
    <row r="13" ht="20" customHeight="1">
      <c r="A13" s="125" t="inlineStr">
        <is>
          <t>Blackwork</t>
        </is>
      </c>
      <c r="C13" s="157">
        <f>COUNTIF('📅 Agenda'!E4:E400,"Blackwork")</f>
        <v/>
      </c>
    </row>
    <row r="14" ht="20" customHeight="1">
      <c r="A14" s="125" t="inlineStr">
        <is>
          <t>Old School</t>
        </is>
      </c>
      <c r="C14" s="157">
        <f>COUNTIF('📅 Agenda'!E4:E400,"Old School")</f>
        <v/>
      </c>
    </row>
    <row r="15" ht="20" customHeight="1">
      <c r="A15" s="125" t="inlineStr">
        <is>
          <t>Fineline</t>
        </is>
      </c>
      <c r="C15" s="157">
        <f>COUNTIF('📅 Agenda'!E4:E400,"Fineline")</f>
        <v/>
      </c>
    </row>
    <row r="16" ht="20" customHeight="1">
      <c r="A16" s="125" t="inlineStr">
        <is>
          <t>Aquarela</t>
        </is>
      </c>
      <c r="C16" s="157">
        <f>COUNTIF('📅 Agenda'!E4:E400,"Aquarela")</f>
        <v/>
      </c>
    </row>
    <row r="17" ht="20" customHeight="1">
      <c r="A17" s="125" t="inlineStr">
        <is>
          <t>Japonês</t>
        </is>
      </c>
      <c r="C17" s="157">
        <f>COUNTIF('📅 Agenda'!E4:E400,"Japonês")</f>
        <v/>
      </c>
    </row>
    <row r="18" ht="20" customHeight="1">
      <c r="A18" s="125" t="inlineStr">
        <is>
          <t>Outros</t>
        </is>
      </c>
      <c r="C18" s="157">
        <f>COUNTIF('📅 Agenda'!E4:E400,"Outros")</f>
        <v/>
      </c>
    </row>
    <row r="20" ht="24" customHeight="1">
      <c r="A20" s="157" t="inlineStr">
        <is>
          <t>📣 ORIGEM DOS LEADS</t>
        </is>
      </c>
    </row>
    <row r="21" ht="20" customHeight="1">
      <c r="A21" s="125" t="inlineStr">
        <is>
          <t>Instagram</t>
        </is>
      </c>
      <c r="C21" s="167">
        <f>COUNTIF('🎯 Leads'!C9:C208,"Instagram")</f>
        <v/>
      </c>
    </row>
    <row r="22" ht="20" customHeight="1">
      <c r="A22" s="125" t="inlineStr">
        <is>
          <t>WhatsApp</t>
        </is>
      </c>
      <c r="C22" s="167">
        <f>COUNTIF('🎯 Leads'!C9:C208,"WhatsApp")</f>
        <v/>
      </c>
    </row>
    <row r="23" ht="20" customHeight="1">
      <c r="A23" s="125" t="inlineStr">
        <is>
          <t>Indicação</t>
        </is>
      </c>
      <c r="C23" s="167">
        <f>COUNTIF('🎯 Leads'!C9:C208,"Indicação")</f>
        <v/>
      </c>
    </row>
    <row r="24" ht="20" customHeight="1">
      <c r="A24" s="125" t="inlineStr">
        <is>
          <t>Google</t>
        </is>
      </c>
      <c r="C24" s="167">
        <f>COUNTIF('🎯 Leads'!C9:C208,"Google")</f>
        <v/>
      </c>
    </row>
    <row r="25" ht="20" customHeight="1">
      <c r="A25" s="125" t="inlineStr">
        <is>
          <t>TikTok</t>
        </is>
      </c>
      <c r="C25" s="167">
        <f>COUNTIF('🎯 Leads'!C9:C208,"TikTok")</f>
        <v/>
      </c>
    </row>
  </sheetData>
  <mergeCells count="13">
    <mergeCell ref="A11:G11"/>
    <mergeCell ref="A6:C6"/>
    <mergeCell ref="A1:S1"/>
    <mergeCell ref="A20:G20"/>
    <mergeCell ref="M7:O7"/>
    <mergeCell ref="Q7:S7"/>
    <mergeCell ref="I7:K7"/>
    <mergeCell ref="A7:C7"/>
    <mergeCell ref="M6:O6"/>
    <mergeCell ref="E7:G7"/>
    <mergeCell ref="Q6:S6"/>
    <mergeCell ref="E6:G6"/>
    <mergeCell ref="I6:K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8B800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2" customWidth="1" min="8" max="8"/>
    <col width="12" customWidth="1" min="9" max="9"/>
    <col width="24" customWidth="1" min="10" max="10"/>
  </cols>
  <sheetData>
    <row r="1" ht="32" customHeight="1">
      <c r="A1" s="149" t="inlineStr">
        <is>
          <t>🏷️  TABELA DE PREÇOS POR ESTILO — CENTRAL TATTOO</t>
        </is>
      </c>
    </row>
    <row r="2" ht="10" customHeight="1">
      <c r="G2" s="168" t="inlineStr">
        <is>
          <t>⚙️ Valor Hora Base:</t>
        </is>
      </c>
      <c r="I2" s="169" t="n">
        <v>200</v>
      </c>
    </row>
    <row r="3" ht="26" customHeight="1">
      <c r="A3" s="118" t="inlineStr">
        <is>
          <t>ESTILO</t>
        </is>
      </c>
      <c r="B3" s="118" t="inlineStr">
        <is>
          <t>PEQUENO (até 5cm)</t>
        </is>
      </c>
      <c r="C3" s="118" t="inlineStr">
        <is>
          <t>MÉDIO (5-15cm)</t>
        </is>
      </c>
      <c r="D3" s="118" t="inlineStr">
        <is>
          <t>GRANDE (15-25cm)</t>
        </is>
      </c>
      <c r="E3" s="118" t="inlineStr">
        <is>
          <t>MANGA/COSTAS</t>
        </is>
      </c>
      <c r="F3" s="118" t="inlineStr">
        <is>
          <t>HORA (R$)</t>
        </is>
      </c>
      <c r="G3" s="118" t="inlineStr">
        <is>
          <t>MÍNIMO (R$)</t>
        </is>
      </c>
      <c r="H3" s="118" t="inlineStr">
        <is>
          <t>RETOQUE</t>
        </is>
      </c>
      <c r="I3" s="118" t="inlineStr">
        <is>
          <t>COVER-UP</t>
        </is>
      </c>
      <c r="J3" s="118" t="inlineStr">
        <is>
          <t>OBS</t>
        </is>
      </c>
    </row>
    <row r="4" ht="22" customHeight="1">
      <c r="A4" s="170" t="inlineStr">
        <is>
          <t>Old School</t>
        </is>
      </c>
      <c r="B4" s="171">
        <f>$I$2*1.0</f>
        <v/>
      </c>
      <c r="C4" s="171">
        <f>$I$2*2.0</f>
        <v/>
      </c>
      <c r="D4" s="171">
        <f>$I$2*3.5</f>
        <v/>
      </c>
      <c r="E4" s="172">
        <f>$I$2*8.0</f>
        <v/>
      </c>
      <c r="F4" s="173">
        <f>$I$2*1.0</f>
        <v/>
      </c>
      <c r="G4" s="171">
        <f>$I$2*1.0</f>
        <v/>
      </c>
      <c r="H4" s="174">
        <f>$I$2*0.5</f>
        <v/>
      </c>
      <c r="I4" s="173">
        <f>$I$2*2.6</f>
        <v/>
      </c>
    </row>
    <row r="5" ht="22" customHeight="1">
      <c r="A5" s="175" t="inlineStr">
        <is>
          <t>New School</t>
        </is>
      </c>
      <c r="B5" s="176">
        <f>$I$2*1.2</f>
        <v/>
      </c>
      <c r="C5" s="176">
        <f>$I$2*2.2</f>
        <v/>
      </c>
      <c r="D5" s="176">
        <f>$I$2*4.0</f>
        <v/>
      </c>
      <c r="E5" s="177">
        <f>$I$2*9.0</f>
        <v/>
      </c>
      <c r="F5" s="178">
        <f>$I$2*1.1</f>
        <v/>
      </c>
      <c r="G5" s="176">
        <f>$I$2*1.2</f>
        <v/>
      </c>
      <c r="H5" s="179">
        <f>$I$2*0.5</f>
        <v/>
      </c>
      <c r="I5" s="178">
        <f>$I$2*2.9</f>
        <v/>
      </c>
    </row>
    <row r="6" ht="22" customHeight="1">
      <c r="A6" s="170" t="inlineStr">
        <is>
          <t>Realismo</t>
        </is>
      </c>
      <c r="B6" s="171">
        <f>$I$2*1.5</f>
        <v/>
      </c>
      <c r="C6" s="171">
        <f>$I$2*3.0</f>
        <v/>
      </c>
      <c r="D6" s="171">
        <f>$I$2*5.0</f>
        <v/>
      </c>
      <c r="E6" s="172">
        <f>$I$2*12.0</f>
        <v/>
      </c>
      <c r="F6" s="173">
        <f>$I$2*1.5</f>
        <v/>
      </c>
      <c r="G6" s="171">
        <f>$I$2*1.5</f>
        <v/>
      </c>
      <c r="H6" s="174">
        <f>$I$2*0.5</f>
        <v/>
      </c>
      <c r="I6" s="173">
        <f>$I$2*3.9</f>
        <v/>
      </c>
    </row>
    <row r="7" ht="22" customHeight="1">
      <c r="A7" s="175" t="inlineStr">
        <is>
          <t>Blackwork</t>
        </is>
      </c>
      <c r="B7" s="176">
        <f>$I$2*1.0</f>
        <v/>
      </c>
      <c r="C7" s="176">
        <f>$I$2*2.0</f>
        <v/>
      </c>
      <c r="D7" s="176">
        <f>$I$2*3.5</f>
        <v/>
      </c>
      <c r="E7" s="177">
        <f>$I$2*8.0</f>
        <v/>
      </c>
      <c r="F7" s="178">
        <f>$I$2*1.0</f>
        <v/>
      </c>
      <c r="G7" s="176">
        <f>$I$2*1.0</f>
        <v/>
      </c>
      <c r="H7" s="179">
        <f>$I$2*0.5</f>
        <v/>
      </c>
      <c r="I7" s="178">
        <f>$I$2*2.6</f>
        <v/>
      </c>
    </row>
    <row r="8" ht="22" customHeight="1">
      <c r="A8" s="170" t="inlineStr">
        <is>
          <t>Fineline</t>
        </is>
      </c>
      <c r="B8" s="171">
        <f>$I$2*1.2</f>
        <v/>
      </c>
      <c r="C8" s="171">
        <f>$I$2*2.5</f>
        <v/>
      </c>
      <c r="D8" s="171">
        <f>$I$2*4.0</f>
        <v/>
      </c>
      <c r="E8" s="172">
        <f>$I$2*9.0</f>
        <v/>
      </c>
      <c r="F8" s="173">
        <f>$I$2*1.2</f>
        <v/>
      </c>
      <c r="G8" s="171">
        <f>$I$2*1.2</f>
        <v/>
      </c>
      <c r="H8" s="174">
        <f>$I$2*0.5</f>
        <v/>
      </c>
      <c r="I8" s="173">
        <f>$I$2*3.2</f>
        <v/>
      </c>
    </row>
    <row r="9" ht="22" customHeight="1">
      <c r="A9" s="175" t="inlineStr">
        <is>
          <t>Aquarela</t>
        </is>
      </c>
      <c r="B9" s="176">
        <f>$I$2*1.3</f>
        <v/>
      </c>
      <c r="C9" s="176">
        <f>$I$2*2.8</f>
        <v/>
      </c>
      <c r="D9" s="176">
        <f>$I$2*4.5</f>
        <v/>
      </c>
      <c r="E9" s="177">
        <f>$I$2*10.0</f>
        <v/>
      </c>
      <c r="F9" s="178">
        <f>$I$2*1.3</f>
        <v/>
      </c>
      <c r="G9" s="176">
        <f>$I$2*1.3</f>
        <v/>
      </c>
      <c r="H9" s="179">
        <f>$I$2*0.5</f>
        <v/>
      </c>
      <c r="I9" s="178">
        <f>$I$2*3.6</f>
        <v/>
      </c>
    </row>
    <row r="10" ht="22" customHeight="1">
      <c r="A10" s="170" t="inlineStr">
        <is>
          <t>Tribal</t>
        </is>
      </c>
      <c r="B10" s="171">
        <f>$I$2*0.8</f>
        <v/>
      </c>
      <c r="C10" s="171">
        <f>$I$2*1.5</f>
        <v/>
      </c>
      <c r="D10" s="171">
        <f>$I$2*3.0</f>
        <v/>
      </c>
      <c r="E10" s="172">
        <f>$I$2*7.0</f>
        <v/>
      </c>
      <c r="F10" s="173">
        <f>$I$2*0.8</f>
        <v/>
      </c>
      <c r="G10" s="171">
        <f>$I$2*0.8</f>
        <v/>
      </c>
      <c r="H10" s="174">
        <f>$I$2*0.5</f>
        <v/>
      </c>
      <c r="I10" s="173">
        <f>$I$2*2.0</f>
        <v/>
      </c>
    </row>
    <row r="11" ht="22" customHeight="1">
      <c r="A11" s="175" t="inlineStr">
        <is>
          <t>Geométrico</t>
        </is>
      </c>
      <c r="B11" s="176">
        <f>$I$2*1.0</f>
        <v/>
      </c>
      <c r="C11" s="176">
        <f>$I$2*2.0</f>
        <v/>
      </c>
      <c r="D11" s="176">
        <f>$I$2*3.5</f>
        <v/>
      </c>
      <c r="E11" s="177">
        <f>$I$2*8.0</f>
        <v/>
      </c>
      <c r="F11" s="178">
        <f>$I$2*1.0</f>
        <v/>
      </c>
      <c r="G11" s="176">
        <f>$I$2*1.0</f>
        <v/>
      </c>
      <c r="H11" s="179">
        <f>$I$2*0.5</f>
        <v/>
      </c>
      <c r="I11" s="178">
        <f>$I$2*2.6</f>
        <v/>
      </c>
    </row>
    <row r="12" ht="22" customHeight="1">
      <c r="A12" s="170" t="inlineStr">
        <is>
          <t>Japonês</t>
        </is>
      </c>
      <c r="B12" s="171">
        <f>$I$2*1.5</f>
        <v/>
      </c>
      <c r="C12" s="171">
        <f>$I$2*3.0</f>
        <v/>
      </c>
      <c r="D12" s="171">
        <f>$I$2*5.0</f>
        <v/>
      </c>
      <c r="E12" s="172">
        <f>$I$2*14.0</f>
        <v/>
      </c>
      <c r="F12" s="173">
        <f>$I$2*1.4</f>
        <v/>
      </c>
      <c r="G12" s="171">
        <f>$I$2*1.5</f>
        <v/>
      </c>
      <c r="H12" s="174">
        <f>$I$2*0.5</f>
        <v/>
      </c>
      <c r="I12" s="173">
        <f>$I$2*3.9</f>
        <v/>
      </c>
    </row>
    <row r="13" ht="22" customHeight="1">
      <c r="A13" s="175" t="inlineStr">
        <is>
          <t>Neotradicional</t>
        </is>
      </c>
      <c r="B13" s="176">
        <f>$I$2*1.3</f>
        <v/>
      </c>
      <c r="C13" s="176">
        <f>$I$2*2.5</f>
        <v/>
      </c>
      <c r="D13" s="176">
        <f>$I$2*4.0</f>
        <v/>
      </c>
      <c r="E13" s="177">
        <f>$I$2*10.0</f>
        <v/>
      </c>
      <c r="F13" s="178">
        <f>$I$2*1.2</f>
        <v/>
      </c>
      <c r="G13" s="176">
        <f>$I$2*1.3</f>
        <v/>
      </c>
      <c r="H13" s="179">
        <f>$I$2*0.5</f>
        <v/>
      </c>
      <c r="I13" s="178">
        <f>$I$2*3.2</f>
        <v/>
      </c>
    </row>
    <row r="14" ht="22" customHeight="1">
      <c r="A14" s="170" t="inlineStr">
        <is>
          <t>Lettering</t>
        </is>
      </c>
      <c r="B14" s="171">
        <f>$I$2*0.5</f>
        <v/>
      </c>
      <c r="C14" s="171">
        <f>$I$2*1.0</f>
        <v/>
      </c>
      <c r="D14" s="171">
        <f>$I$2*2.0</f>
        <v/>
      </c>
      <c r="E14" s="172">
        <f>$I$2*5.0</f>
        <v/>
      </c>
      <c r="F14" s="173">
        <f>$I$2*0.8</f>
        <v/>
      </c>
      <c r="G14" s="171">
        <f>$I$2*0.5</f>
        <v/>
      </c>
      <c r="H14" s="174">
        <f>$I$2*0.5</f>
        <v/>
      </c>
      <c r="I14" s="173">
        <f>$I$2*1.3</f>
        <v/>
      </c>
    </row>
    <row r="15" ht="22" customHeight="1">
      <c r="A15" s="175" t="inlineStr">
        <is>
          <t>Pontilhismo</t>
        </is>
      </c>
      <c r="B15" s="176">
        <f>$I$2*1.0</f>
        <v/>
      </c>
      <c r="C15" s="176">
        <f>$I$2*2.0</f>
        <v/>
      </c>
      <c r="D15" s="176">
        <f>$I$2*3.5</f>
        <v/>
      </c>
      <c r="E15" s="177">
        <f>$I$2*8.0</f>
        <v/>
      </c>
      <c r="F15" s="178">
        <f>$I$2*1.0</f>
        <v/>
      </c>
      <c r="G15" s="176">
        <f>$I$2*1.0</f>
        <v/>
      </c>
      <c r="H15" s="179">
        <f>$I$2*0.5</f>
        <v/>
      </c>
      <c r="I15" s="178">
        <f>$I$2*2.6</f>
        <v/>
      </c>
    </row>
    <row r="16" ht="22" customHeight="1">
      <c r="A16" s="170" t="inlineStr">
        <is>
          <t>Cover-Up</t>
        </is>
      </c>
      <c r="B16" s="171">
        <f>$I$2*1.5</f>
        <v/>
      </c>
      <c r="C16" s="171">
        <f>$I$2*3.0</f>
        <v/>
      </c>
      <c r="D16" s="171">
        <f>$I$2*5.0</f>
        <v/>
      </c>
      <c r="E16" s="172">
        <f>$I$2*12.0</f>
        <v/>
      </c>
      <c r="F16" s="173">
        <f>$I$2*1.5</f>
        <v/>
      </c>
      <c r="G16" s="171">
        <f>$I$2*1.5</f>
        <v/>
      </c>
      <c r="H16" s="174">
        <f>$I$2*0.5</f>
        <v/>
      </c>
      <c r="I16" s="173">
        <f>$I$2*3.9</f>
        <v/>
      </c>
    </row>
    <row r="17" ht="22" customHeight="1">
      <c r="A17" s="175" t="inlineStr">
        <is>
          <t>Trash Polka</t>
        </is>
      </c>
      <c r="B17" s="176">
        <f>$I$2*1.3</f>
        <v/>
      </c>
      <c r="C17" s="176">
        <f>$I$2*2.8</f>
        <v/>
      </c>
      <c r="D17" s="176">
        <f>$I$2*4.5</f>
        <v/>
      </c>
      <c r="E17" s="177">
        <f>$I$2*10.0</f>
        <v/>
      </c>
      <c r="F17" s="178">
        <f>$I$2*1.3</f>
        <v/>
      </c>
      <c r="G17" s="176">
        <f>$I$2*1.3</f>
        <v/>
      </c>
      <c r="H17" s="179">
        <f>$I$2*0.5</f>
        <v/>
      </c>
      <c r="I17" s="178">
        <f>$I$2*3.6</f>
        <v/>
      </c>
    </row>
    <row r="20">
      <c r="A20" s="180" t="inlineStr">
        <is>
          <t>💡 Para alterar todos os preços automaticamente, mude apenas o valor em "⚙️ Valor Hora Base" (célula I2)</t>
        </is>
      </c>
    </row>
  </sheetData>
  <mergeCells count="3">
    <mergeCell ref="G2:H2"/>
    <mergeCell ref="A1:J1"/>
    <mergeCell ref="A20:J2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91E8C"/>
    <outlinePr summaryBelow="1" summaryRight="1"/>
    <pageSetUpPr/>
  </sheetPr>
  <dimension ref="A1:M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3" customWidth="1" min="4" max="4"/>
    <col width="13" customWidth="1" min="5" max="5"/>
    <col width="10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0" customWidth="1" min="12" max="12"/>
    <col width="22" customWidth="1" min="13" max="13"/>
  </cols>
  <sheetData>
    <row r="1" ht="32" customHeight="1">
      <c r="A1" s="149" t="inlineStr">
        <is>
          <t>📱  CONTROLE DE MARKETING &amp; TRÁFEGO PAGO — CENTRAL TATTOO</t>
        </is>
      </c>
    </row>
    <row r="2" ht="10" customHeight="1"/>
    <row r="3" ht="26" customHeight="1">
      <c r="A3" s="118" t="inlineStr">
        <is>
          <t>MÊS</t>
        </is>
      </c>
      <c r="B3" s="118" t="inlineStr">
        <is>
          <t>PLATAFORMA</t>
        </is>
      </c>
      <c r="C3" s="118" t="inlineStr">
        <is>
          <t>TIPO CAMPANHA</t>
        </is>
      </c>
      <c r="D3" s="118" t="inlineStr">
        <is>
          <t>VERBA (R$)</t>
        </is>
      </c>
      <c r="E3" s="118" t="inlineStr">
        <is>
          <t>IMPRESSÕES</t>
        </is>
      </c>
      <c r="F3" s="118" t="inlineStr">
        <is>
          <t>CLIQUES</t>
        </is>
      </c>
      <c r="G3" s="118" t="inlineStr">
        <is>
          <t>LEADS GERADOS</t>
        </is>
      </c>
      <c r="H3" s="118" t="inlineStr">
        <is>
          <t>CONVERTIDOS</t>
        </is>
      </c>
      <c r="I3" s="118" t="inlineStr">
        <is>
          <t>FATUR. GERADO</t>
        </is>
      </c>
      <c r="J3" s="118" t="inlineStr">
        <is>
          <t>CPL (R$)</t>
        </is>
      </c>
      <c r="K3" s="118" t="inlineStr">
        <is>
          <t>CPC (R$)</t>
        </is>
      </c>
      <c r="L3" s="118" t="inlineStr">
        <is>
          <t>ROI %</t>
        </is>
      </c>
      <c r="M3" s="118" t="inlineStr">
        <is>
          <t>OBS</t>
        </is>
      </c>
    </row>
    <row r="4">
      <c r="D4" s="116" t="n"/>
      <c r="E4" s="181" t="n"/>
      <c r="F4" s="181" t="n"/>
      <c r="G4" s="181" t="n"/>
      <c r="H4" s="181" t="n"/>
      <c r="I4" s="116" t="n"/>
      <c r="J4" s="117">
        <f>IF(AND(D4&lt;&gt;"",G4&gt;0),D4/G4,"")</f>
        <v/>
      </c>
      <c r="K4" s="117">
        <f>IF(AND(D4&lt;&gt;"",F4&gt;0),D4/F4,"")</f>
        <v/>
      </c>
      <c r="L4" s="182">
        <f>IF(AND(I4&lt;&gt;"",D4&gt;0),(I4-D4)/D4,"")</f>
        <v/>
      </c>
    </row>
    <row r="5">
      <c r="D5" s="116" t="n"/>
      <c r="E5" s="181" t="n"/>
      <c r="F5" s="181" t="n"/>
      <c r="G5" s="181" t="n"/>
      <c r="H5" s="181" t="n"/>
      <c r="I5" s="116" t="n"/>
      <c r="J5" s="117">
        <f>IF(AND(D5&lt;&gt;"",G5&gt;0),D5/G5,"")</f>
        <v/>
      </c>
      <c r="K5" s="117">
        <f>IF(AND(D5&lt;&gt;"",F5&gt;0),D5/F5,"")</f>
        <v/>
      </c>
      <c r="L5" s="182">
        <f>IF(AND(I5&lt;&gt;"",D5&gt;0),(I5-D5)/D5,"")</f>
        <v/>
      </c>
    </row>
    <row r="6">
      <c r="D6" s="116" t="n"/>
      <c r="E6" s="181" t="n"/>
      <c r="F6" s="181" t="n"/>
      <c r="G6" s="181" t="n"/>
      <c r="H6" s="181" t="n"/>
      <c r="I6" s="116" t="n"/>
      <c r="J6" s="117">
        <f>IF(AND(D6&lt;&gt;"",G6&gt;0),D6/G6,"")</f>
        <v/>
      </c>
      <c r="K6" s="117">
        <f>IF(AND(D6&lt;&gt;"",F6&gt;0),D6/F6,"")</f>
        <v/>
      </c>
      <c r="L6" s="182">
        <f>IF(AND(I6&lt;&gt;"",D6&gt;0),(I6-D6)/D6,"")</f>
        <v/>
      </c>
    </row>
    <row r="7">
      <c r="D7" s="116" t="n"/>
      <c r="E7" s="181" t="n"/>
      <c r="F7" s="181" t="n"/>
      <c r="G7" s="181" t="n"/>
      <c r="H7" s="181" t="n"/>
      <c r="I7" s="116" t="n"/>
      <c r="J7" s="117">
        <f>IF(AND(D7&lt;&gt;"",G7&gt;0),D7/G7,"")</f>
        <v/>
      </c>
      <c r="K7" s="117">
        <f>IF(AND(D7&lt;&gt;"",F7&gt;0),D7/F7,"")</f>
        <v/>
      </c>
      <c r="L7" s="182">
        <f>IF(AND(I7&lt;&gt;"",D7&gt;0),(I7-D7)/D7,"")</f>
        <v/>
      </c>
    </row>
    <row r="8">
      <c r="D8" s="116" t="n"/>
      <c r="E8" s="181" t="n"/>
      <c r="F8" s="181" t="n"/>
      <c r="G8" s="181" t="n"/>
      <c r="H8" s="181" t="n"/>
      <c r="I8" s="116" t="n"/>
      <c r="J8" s="117">
        <f>IF(AND(D8&lt;&gt;"",G8&gt;0),D8/G8,"")</f>
        <v/>
      </c>
      <c r="K8" s="117">
        <f>IF(AND(D8&lt;&gt;"",F8&gt;0),D8/F8,"")</f>
        <v/>
      </c>
      <c r="L8" s="182">
        <f>IF(AND(I8&lt;&gt;"",D8&gt;0),(I8-D8)/D8,"")</f>
        <v/>
      </c>
    </row>
    <row r="9">
      <c r="D9" s="116" t="n"/>
      <c r="E9" s="181" t="n"/>
      <c r="F9" s="181" t="n"/>
      <c r="G9" s="181" t="n"/>
      <c r="H9" s="181" t="n"/>
      <c r="I9" s="116" t="n"/>
      <c r="J9" s="117">
        <f>IF(AND(D9&lt;&gt;"",G9&gt;0),D9/G9,"")</f>
        <v/>
      </c>
      <c r="K9" s="117">
        <f>IF(AND(D9&lt;&gt;"",F9&gt;0),D9/F9,"")</f>
        <v/>
      </c>
      <c r="L9" s="182">
        <f>IF(AND(I9&lt;&gt;"",D9&gt;0),(I9-D9)/D9,"")</f>
        <v/>
      </c>
    </row>
    <row r="10">
      <c r="D10" s="116" t="n"/>
      <c r="E10" s="181" t="n"/>
      <c r="F10" s="181" t="n"/>
      <c r="G10" s="181" t="n"/>
      <c r="H10" s="181" t="n"/>
      <c r="I10" s="116" t="n"/>
      <c r="J10" s="117">
        <f>IF(AND(D10&lt;&gt;"",G10&gt;0),D10/G10,"")</f>
        <v/>
      </c>
      <c r="K10" s="117">
        <f>IF(AND(D10&lt;&gt;"",F10&gt;0),D10/F10,"")</f>
        <v/>
      </c>
      <c r="L10" s="182">
        <f>IF(AND(I10&lt;&gt;"",D10&gt;0),(I10-D10)/D10,"")</f>
        <v/>
      </c>
    </row>
    <row r="11">
      <c r="D11" s="116" t="n"/>
      <c r="E11" s="181" t="n"/>
      <c r="F11" s="181" t="n"/>
      <c r="G11" s="181" t="n"/>
      <c r="H11" s="181" t="n"/>
      <c r="I11" s="116" t="n"/>
      <c r="J11" s="117">
        <f>IF(AND(D11&lt;&gt;"",G11&gt;0),D11/G11,"")</f>
        <v/>
      </c>
      <c r="K11" s="117">
        <f>IF(AND(D11&lt;&gt;"",F11&gt;0),D11/F11,"")</f>
        <v/>
      </c>
      <c r="L11" s="182">
        <f>IF(AND(I11&lt;&gt;"",D11&gt;0),(I11-D11)/D11,"")</f>
        <v/>
      </c>
    </row>
    <row r="12">
      <c r="D12" s="116" t="n"/>
      <c r="E12" s="181" t="n"/>
      <c r="F12" s="181" t="n"/>
      <c r="G12" s="181" t="n"/>
      <c r="H12" s="181" t="n"/>
      <c r="I12" s="116" t="n"/>
      <c r="J12" s="117">
        <f>IF(AND(D12&lt;&gt;"",G12&gt;0),D12/G12,"")</f>
        <v/>
      </c>
      <c r="K12" s="117">
        <f>IF(AND(D12&lt;&gt;"",F12&gt;0),D12/F12,"")</f>
        <v/>
      </c>
      <c r="L12" s="182">
        <f>IF(AND(I12&lt;&gt;"",D12&gt;0),(I12-D12)/D12,"")</f>
        <v/>
      </c>
    </row>
    <row r="13">
      <c r="D13" s="116" t="n"/>
      <c r="E13" s="181" t="n"/>
      <c r="F13" s="181" t="n"/>
      <c r="G13" s="181" t="n"/>
      <c r="H13" s="181" t="n"/>
      <c r="I13" s="116" t="n"/>
      <c r="J13" s="117">
        <f>IF(AND(D13&lt;&gt;"",G13&gt;0),D13/G13,"")</f>
        <v/>
      </c>
      <c r="K13" s="117">
        <f>IF(AND(D13&lt;&gt;"",F13&gt;0),D13/F13,"")</f>
        <v/>
      </c>
      <c r="L13" s="182">
        <f>IF(AND(I13&lt;&gt;"",D13&gt;0),(I13-D13)/D13,"")</f>
        <v/>
      </c>
    </row>
    <row r="14">
      <c r="D14" s="116" t="n"/>
      <c r="E14" s="181" t="n"/>
      <c r="F14" s="181" t="n"/>
      <c r="G14" s="181" t="n"/>
      <c r="H14" s="181" t="n"/>
      <c r="I14" s="116" t="n"/>
      <c r="J14" s="117">
        <f>IF(AND(D14&lt;&gt;"",G14&gt;0),D14/G14,"")</f>
        <v/>
      </c>
      <c r="K14" s="117">
        <f>IF(AND(D14&lt;&gt;"",F14&gt;0),D14/F14,"")</f>
        <v/>
      </c>
      <c r="L14" s="182">
        <f>IF(AND(I14&lt;&gt;"",D14&gt;0),(I14-D14)/D14,"")</f>
        <v/>
      </c>
    </row>
    <row r="15">
      <c r="D15" s="116" t="n"/>
      <c r="E15" s="181" t="n"/>
      <c r="F15" s="181" t="n"/>
      <c r="G15" s="181" t="n"/>
      <c r="H15" s="181" t="n"/>
      <c r="I15" s="116" t="n"/>
      <c r="J15" s="117">
        <f>IF(AND(D15&lt;&gt;"",G15&gt;0),D15/G15,"")</f>
        <v/>
      </c>
      <c r="K15" s="117">
        <f>IF(AND(D15&lt;&gt;"",F15&gt;0),D15/F15,"")</f>
        <v/>
      </c>
      <c r="L15" s="182">
        <f>IF(AND(I15&lt;&gt;"",D15&gt;0),(I15-D15)/D15,"")</f>
        <v/>
      </c>
    </row>
    <row r="16">
      <c r="D16" s="116" t="n"/>
      <c r="E16" s="181" t="n"/>
      <c r="F16" s="181" t="n"/>
      <c r="G16" s="181" t="n"/>
      <c r="H16" s="181" t="n"/>
      <c r="I16" s="116" t="n"/>
      <c r="J16" s="117">
        <f>IF(AND(D16&lt;&gt;"",G16&gt;0),D16/G16,"")</f>
        <v/>
      </c>
      <c r="K16" s="117">
        <f>IF(AND(D16&lt;&gt;"",F16&gt;0),D16/F16,"")</f>
        <v/>
      </c>
      <c r="L16" s="182">
        <f>IF(AND(I16&lt;&gt;"",D16&gt;0),(I16-D16)/D16,"")</f>
        <v/>
      </c>
    </row>
    <row r="17">
      <c r="D17" s="116" t="n"/>
      <c r="E17" s="181" t="n"/>
      <c r="F17" s="181" t="n"/>
      <c r="G17" s="181" t="n"/>
      <c r="H17" s="181" t="n"/>
      <c r="I17" s="116" t="n"/>
      <c r="J17" s="117">
        <f>IF(AND(D17&lt;&gt;"",G17&gt;0),D17/G17,"")</f>
        <v/>
      </c>
      <c r="K17" s="117">
        <f>IF(AND(D17&lt;&gt;"",F17&gt;0),D17/F17,"")</f>
        <v/>
      </c>
      <c r="L17" s="182">
        <f>IF(AND(I17&lt;&gt;"",D17&gt;0),(I17-D17)/D17,"")</f>
        <v/>
      </c>
    </row>
    <row r="18">
      <c r="D18" s="116" t="n"/>
      <c r="E18" s="181" t="n"/>
      <c r="F18" s="181" t="n"/>
      <c r="G18" s="181" t="n"/>
      <c r="H18" s="181" t="n"/>
      <c r="I18" s="116" t="n"/>
      <c r="J18" s="117">
        <f>IF(AND(D18&lt;&gt;"",G18&gt;0),D18/G18,"")</f>
        <v/>
      </c>
      <c r="K18" s="117">
        <f>IF(AND(D18&lt;&gt;"",F18&gt;0),D18/F18,"")</f>
        <v/>
      </c>
      <c r="L18" s="182">
        <f>IF(AND(I18&lt;&gt;"",D18&gt;0),(I18-D18)/D18,"")</f>
        <v/>
      </c>
    </row>
    <row r="19">
      <c r="D19" s="116" t="n"/>
      <c r="E19" s="181" t="n"/>
      <c r="F19" s="181" t="n"/>
      <c r="G19" s="181" t="n"/>
      <c r="H19" s="181" t="n"/>
      <c r="I19" s="116" t="n"/>
      <c r="J19" s="117">
        <f>IF(AND(D19&lt;&gt;"",G19&gt;0),D19/G19,"")</f>
        <v/>
      </c>
      <c r="K19" s="117">
        <f>IF(AND(D19&lt;&gt;"",F19&gt;0),D19/F19,"")</f>
        <v/>
      </c>
      <c r="L19" s="182">
        <f>IF(AND(I19&lt;&gt;"",D19&gt;0),(I19-D19)/D19,"")</f>
        <v/>
      </c>
    </row>
    <row r="20">
      <c r="D20" s="116" t="n"/>
      <c r="E20" s="181" t="n"/>
      <c r="F20" s="181" t="n"/>
      <c r="G20" s="181" t="n"/>
      <c r="H20" s="181" t="n"/>
      <c r="I20" s="116" t="n"/>
      <c r="J20" s="117">
        <f>IF(AND(D20&lt;&gt;"",G20&gt;0),D20/G20,"")</f>
        <v/>
      </c>
      <c r="K20" s="117">
        <f>IF(AND(D20&lt;&gt;"",F20&gt;0),D20/F20,"")</f>
        <v/>
      </c>
      <c r="L20" s="182">
        <f>IF(AND(I20&lt;&gt;"",D20&gt;0),(I20-D20)/D20,"")</f>
        <v/>
      </c>
    </row>
    <row r="21">
      <c r="D21" s="116" t="n"/>
      <c r="E21" s="181" t="n"/>
      <c r="F21" s="181" t="n"/>
      <c r="G21" s="181" t="n"/>
      <c r="H21" s="181" t="n"/>
      <c r="I21" s="116" t="n"/>
      <c r="J21" s="117">
        <f>IF(AND(D21&lt;&gt;"",G21&gt;0),D21/G21,"")</f>
        <v/>
      </c>
      <c r="K21" s="117">
        <f>IF(AND(D21&lt;&gt;"",F21&gt;0),D21/F21,"")</f>
        <v/>
      </c>
      <c r="L21" s="182">
        <f>IF(AND(I21&lt;&gt;"",D21&gt;0),(I21-D21)/D21,"")</f>
        <v/>
      </c>
    </row>
    <row r="22">
      <c r="D22" s="116" t="n"/>
      <c r="E22" s="181" t="n"/>
      <c r="F22" s="181" t="n"/>
      <c r="G22" s="181" t="n"/>
      <c r="H22" s="181" t="n"/>
      <c r="I22" s="116" t="n"/>
      <c r="J22" s="117">
        <f>IF(AND(D22&lt;&gt;"",G22&gt;0),D22/G22,"")</f>
        <v/>
      </c>
      <c r="K22" s="117">
        <f>IF(AND(D22&lt;&gt;"",F22&gt;0),D22/F22,"")</f>
        <v/>
      </c>
      <c r="L22" s="182">
        <f>IF(AND(I22&lt;&gt;"",D22&gt;0),(I22-D22)/D22,"")</f>
        <v/>
      </c>
    </row>
    <row r="23">
      <c r="D23" s="116" t="n"/>
      <c r="E23" s="181" t="n"/>
      <c r="F23" s="181" t="n"/>
      <c r="G23" s="181" t="n"/>
      <c r="H23" s="181" t="n"/>
      <c r="I23" s="116" t="n"/>
      <c r="J23" s="117">
        <f>IF(AND(D23&lt;&gt;"",G23&gt;0),D23/G23,"")</f>
        <v/>
      </c>
      <c r="K23" s="117">
        <f>IF(AND(D23&lt;&gt;"",F23&gt;0),D23/F23,"")</f>
        <v/>
      </c>
      <c r="L23" s="182">
        <f>IF(AND(I23&lt;&gt;"",D23&gt;0),(I23-D23)/D23,"")</f>
        <v/>
      </c>
    </row>
    <row r="24">
      <c r="D24" s="116" t="n"/>
      <c r="E24" s="181" t="n"/>
      <c r="F24" s="181" t="n"/>
      <c r="G24" s="181" t="n"/>
      <c r="H24" s="181" t="n"/>
      <c r="I24" s="116" t="n"/>
      <c r="J24" s="117">
        <f>IF(AND(D24&lt;&gt;"",G24&gt;0),D24/G24,"")</f>
        <v/>
      </c>
      <c r="K24" s="117">
        <f>IF(AND(D24&lt;&gt;"",F24&gt;0),D24/F24,"")</f>
        <v/>
      </c>
      <c r="L24" s="182">
        <f>IF(AND(I24&lt;&gt;"",D24&gt;0),(I24-D24)/D24,"")</f>
        <v/>
      </c>
    </row>
    <row r="25">
      <c r="D25" s="116" t="n"/>
      <c r="E25" s="181" t="n"/>
      <c r="F25" s="181" t="n"/>
      <c r="G25" s="181" t="n"/>
      <c r="H25" s="181" t="n"/>
      <c r="I25" s="116" t="n"/>
      <c r="J25" s="117">
        <f>IF(AND(D25&lt;&gt;"",G25&gt;0),D25/G25,"")</f>
        <v/>
      </c>
      <c r="K25" s="117">
        <f>IF(AND(D25&lt;&gt;"",F25&gt;0),D25/F25,"")</f>
        <v/>
      </c>
      <c r="L25" s="182">
        <f>IF(AND(I25&lt;&gt;"",D25&gt;0),(I25-D25)/D25,"")</f>
        <v/>
      </c>
    </row>
    <row r="26">
      <c r="D26" s="116" t="n"/>
      <c r="E26" s="181" t="n"/>
      <c r="F26" s="181" t="n"/>
      <c r="G26" s="181" t="n"/>
      <c r="H26" s="181" t="n"/>
      <c r="I26" s="116" t="n"/>
      <c r="J26" s="117">
        <f>IF(AND(D26&lt;&gt;"",G26&gt;0),D26/G26,"")</f>
        <v/>
      </c>
      <c r="K26" s="117">
        <f>IF(AND(D26&lt;&gt;"",F26&gt;0),D26/F26,"")</f>
        <v/>
      </c>
      <c r="L26" s="182">
        <f>IF(AND(I26&lt;&gt;"",D26&gt;0),(I26-D26)/D26,"")</f>
        <v/>
      </c>
    </row>
    <row r="27">
      <c r="D27" s="116" t="n"/>
      <c r="E27" s="181" t="n"/>
      <c r="F27" s="181" t="n"/>
      <c r="G27" s="181" t="n"/>
      <c r="H27" s="181" t="n"/>
      <c r="I27" s="116" t="n"/>
      <c r="J27" s="117">
        <f>IF(AND(D27&lt;&gt;"",G27&gt;0),D27/G27,"")</f>
        <v/>
      </c>
      <c r="K27" s="117">
        <f>IF(AND(D27&lt;&gt;"",F27&gt;0),D27/F27,"")</f>
        <v/>
      </c>
      <c r="L27" s="182">
        <f>IF(AND(I27&lt;&gt;"",D27&gt;0),(I27-D27)/D27,"")</f>
        <v/>
      </c>
    </row>
    <row r="28">
      <c r="D28" s="116" t="n"/>
      <c r="E28" s="181" t="n"/>
      <c r="F28" s="181" t="n"/>
      <c r="G28" s="181" t="n"/>
      <c r="H28" s="181" t="n"/>
      <c r="I28" s="116" t="n"/>
      <c r="J28" s="117">
        <f>IF(AND(D28&lt;&gt;"",G28&gt;0),D28/G28,"")</f>
        <v/>
      </c>
      <c r="K28" s="117">
        <f>IF(AND(D28&lt;&gt;"",F28&gt;0),D28/F28,"")</f>
        <v/>
      </c>
      <c r="L28" s="182">
        <f>IF(AND(I28&lt;&gt;"",D28&gt;0),(I28-D28)/D28,"")</f>
        <v/>
      </c>
    </row>
    <row r="29">
      <c r="D29" s="116" t="n"/>
      <c r="E29" s="181" t="n"/>
      <c r="F29" s="181" t="n"/>
      <c r="G29" s="181" t="n"/>
      <c r="H29" s="181" t="n"/>
      <c r="I29" s="116" t="n"/>
      <c r="J29" s="117">
        <f>IF(AND(D29&lt;&gt;"",G29&gt;0),D29/G29,"")</f>
        <v/>
      </c>
      <c r="K29" s="117">
        <f>IF(AND(D29&lt;&gt;"",F29&gt;0),D29/F29,"")</f>
        <v/>
      </c>
      <c r="L29" s="182">
        <f>IF(AND(I29&lt;&gt;"",D29&gt;0),(I29-D29)/D29,"")</f>
        <v/>
      </c>
    </row>
    <row r="30">
      <c r="D30" s="116" t="n"/>
      <c r="E30" s="181" t="n"/>
      <c r="F30" s="181" t="n"/>
      <c r="G30" s="181" t="n"/>
      <c r="H30" s="181" t="n"/>
      <c r="I30" s="116" t="n"/>
      <c r="J30" s="117">
        <f>IF(AND(D30&lt;&gt;"",G30&gt;0),D30/G30,"")</f>
        <v/>
      </c>
      <c r="K30" s="117">
        <f>IF(AND(D30&lt;&gt;"",F30&gt;0),D30/F30,"")</f>
        <v/>
      </c>
      <c r="L30" s="182">
        <f>IF(AND(I30&lt;&gt;"",D30&gt;0),(I30-D30)/D30,"")</f>
        <v/>
      </c>
    </row>
    <row r="31">
      <c r="D31" s="116" t="n"/>
      <c r="E31" s="181" t="n"/>
      <c r="F31" s="181" t="n"/>
      <c r="G31" s="181" t="n"/>
      <c r="H31" s="181" t="n"/>
      <c r="I31" s="116" t="n"/>
      <c r="J31" s="117">
        <f>IF(AND(D31&lt;&gt;"",G31&gt;0),D31/G31,"")</f>
        <v/>
      </c>
      <c r="K31" s="117">
        <f>IF(AND(D31&lt;&gt;"",F31&gt;0),D31/F31,"")</f>
        <v/>
      </c>
      <c r="L31" s="182">
        <f>IF(AND(I31&lt;&gt;"",D31&gt;0),(I31-D31)/D31,"")</f>
        <v/>
      </c>
    </row>
    <row r="32">
      <c r="D32" s="116" t="n"/>
      <c r="E32" s="181" t="n"/>
      <c r="F32" s="181" t="n"/>
      <c r="G32" s="181" t="n"/>
      <c r="H32" s="181" t="n"/>
      <c r="I32" s="116" t="n"/>
      <c r="J32" s="117">
        <f>IF(AND(D32&lt;&gt;"",G32&gt;0),D32/G32,"")</f>
        <v/>
      </c>
      <c r="K32" s="117">
        <f>IF(AND(D32&lt;&gt;"",F32&gt;0),D32/F32,"")</f>
        <v/>
      </c>
      <c r="L32" s="182">
        <f>IF(AND(I32&lt;&gt;"",D32&gt;0),(I32-D32)/D32,"")</f>
        <v/>
      </c>
    </row>
    <row r="33">
      <c r="D33" s="116" t="n"/>
      <c r="E33" s="181" t="n"/>
      <c r="F33" s="181" t="n"/>
      <c r="G33" s="181" t="n"/>
      <c r="H33" s="181" t="n"/>
      <c r="I33" s="116" t="n"/>
      <c r="J33" s="117">
        <f>IF(AND(D33&lt;&gt;"",G33&gt;0),D33/G33,"")</f>
        <v/>
      </c>
      <c r="K33" s="117">
        <f>IF(AND(D33&lt;&gt;"",F33&gt;0),D33/F33,"")</f>
        <v/>
      </c>
      <c r="L33" s="182">
        <f>IF(AND(I33&lt;&gt;"",D33&gt;0),(I33-D33)/D33,"")</f>
        <v/>
      </c>
    </row>
    <row r="34">
      <c r="D34" s="116" t="n"/>
      <c r="E34" s="181" t="n"/>
      <c r="F34" s="181" t="n"/>
      <c r="G34" s="181" t="n"/>
      <c r="H34" s="181" t="n"/>
      <c r="I34" s="116" t="n"/>
      <c r="J34" s="117">
        <f>IF(AND(D34&lt;&gt;"",G34&gt;0),D34/G34,"")</f>
        <v/>
      </c>
      <c r="K34" s="117">
        <f>IF(AND(D34&lt;&gt;"",F34&gt;0),D34/F34,"")</f>
        <v/>
      </c>
      <c r="L34" s="182">
        <f>IF(AND(I34&lt;&gt;"",D34&gt;0),(I34-D34)/D34,"")</f>
        <v/>
      </c>
    </row>
    <row r="35">
      <c r="D35" s="116" t="n"/>
      <c r="E35" s="181" t="n"/>
      <c r="F35" s="181" t="n"/>
      <c r="G35" s="181" t="n"/>
      <c r="H35" s="181" t="n"/>
      <c r="I35" s="116" t="n"/>
      <c r="J35" s="117">
        <f>IF(AND(D35&lt;&gt;"",G35&gt;0),D35/G35,"")</f>
        <v/>
      </c>
      <c r="K35" s="117">
        <f>IF(AND(D35&lt;&gt;"",F35&gt;0),D35/F35,"")</f>
        <v/>
      </c>
      <c r="L35" s="182">
        <f>IF(AND(I35&lt;&gt;"",D35&gt;0),(I35-D35)/D35,"")</f>
        <v/>
      </c>
    </row>
    <row r="36">
      <c r="D36" s="116" t="n"/>
      <c r="E36" s="181" t="n"/>
      <c r="F36" s="181" t="n"/>
      <c r="G36" s="181" t="n"/>
      <c r="H36" s="181" t="n"/>
      <c r="I36" s="116" t="n"/>
      <c r="J36" s="117">
        <f>IF(AND(D36&lt;&gt;"",G36&gt;0),D36/G36,"")</f>
        <v/>
      </c>
      <c r="K36" s="117">
        <f>IF(AND(D36&lt;&gt;"",F36&gt;0),D36/F36,"")</f>
        <v/>
      </c>
      <c r="L36" s="182">
        <f>IF(AND(I36&lt;&gt;"",D36&gt;0),(I36-D36)/D36,"")</f>
        <v/>
      </c>
    </row>
    <row r="37">
      <c r="D37" s="116" t="n"/>
      <c r="E37" s="181" t="n"/>
      <c r="F37" s="181" t="n"/>
      <c r="G37" s="181" t="n"/>
      <c r="H37" s="181" t="n"/>
      <c r="I37" s="116" t="n"/>
      <c r="J37" s="117">
        <f>IF(AND(D37&lt;&gt;"",G37&gt;0),D37/G37,"")</f>
        <v/>
      </c>
      <c r="K37" s="117">
        <f>IF(AND(D37&lt;&gt;"",F37&gt;0),D37/F37,"")</f>
        <v/>
      </c>
      <c r="L37" s="182">
        <f>IF(AND(I37&lt;&gt;"",D37&gt;0),(I37-D37)/D37,"")</f>
        <v/>
      </c>
    </row>
    <row r="38">
      <c r="D38" s="116" t="n"/>
      <c r="E38" s="181" t="n"/>
      <c r="F38" s="181" t="n"/>
      <c r="G38" s="181" t="n"/>
      <c r="H38" s="181" t="n"/>
      <c r="I38" s="116" t="n"/>
      <c r="J38" s="117">
        <f>IF(AND(D38&lt;&gt;"",G38&gt;0),D38/G38,"")</f>
        <v/>
      </c>
      <c r="K38" s="117">
        <f>IF(AND(D38&lt;&gt;"",F38&gt;0),D38/F38,"")</f>
        <v/>
      </c>
      <c r="L38" s="182">
        <f>IF(AND(I38&lt;&gt;"",D38&gt;0),(I38-D38)/D38,"")</f>
        <v/>
      </c>
    </row>
    <row r="39">
      <c r="D39" s="116" t="n"/>
      <c r="E39" s="181" t="n"/>
      <c r="F39" s="181" t="n"/>
      <c r="G39" s="181" t="n"/>
      <c r="H39" s="181" t="n"/>
      <c r="I39" s="116" t="n"/>
      <c r="J39" s="117">
        <f>IF(AND(D39&lt;&gt;"",G39&gt;0),D39/G39,"")</f>
        <v/>
      </c>
      <c r="K39" s="117">
        <f>IF(AND(D39&lt;&gt;"",F39&gt;0),D39/F39,"")</f>
        <v/>
      </c>
      <c r="L39" s="182">
        <f>IF(AND(I39&lt;&gt;"",D39&gt;0),(I39-D39)/D39,"")</f>
        <v/>
      </c>
    </row>
    <row r="40">
      <c r="D40" s="116" t="n"/>
      <c r="E40" s="181" t="n"/>
      <c r="F40" s="181" t="n"/>
      <c r="G40" s="181" t="n"/>
      <c r="H40" s="181" t="n"/>
      <c r="I40" s="116" t="n"/>
      <c r="J40" s="117">
        <f>IF(AND(D40&lt;&gt;"",G40&gt;0),D40/G40,"")</f>
        <v/>
      </c>
      <c r="K40" s="117">
        <f>IF(AND(D40&lt;&gt;"",F40&gt;0),D40/F40,"")</f>
        <v/>
      </c>
      <c r="L40" s="182">
        <f>IF(AND(I40&lt;&gt;"",D40&gt;0),(I40-D40)/D40,"")</f>
        <v/>
      </c>
    </row>
    <row r="41">
      <c r="D41" s="116" t="n"/>
      <c r="E41" s="181" t="n"/>
      <c r="F41" s="181" t="n"/>
      <c r="G41" s="181" t="n"/>
      <c r="H41" s="181" t="n"/>
      <c r="I41" s="116" t="n"/>
      <c r="J41" s="117">
        <f>IF(AND(D41&lt;&gt;"",G41&gt;0),D41/G41,"")</f>
        <v/>
      </c>
      <c r="K41" s="117">
        <f>IF(AND(D41&lt;&gt;"",F41&gt;0),D41/F41,"")</f>
        <v/>
      </c>
      <c r="L41" s="182">
        <f>IF(AND(I41&lt;&gt;"",D41&gt;0),(I41-D41)/D41,"")</f>
        <v/>
      </c>
    </row>
    <row r="42">
      <c r="D42" s="116" t="n"/>
      <c r="E42" s="181" t="n"/>
      <c r="F42" s="181" t="n"/>
      <c r="G42" s="181" t="n"/>
      <c r="H42" s="181" t="n"/>
      <c r="I42" s="116" t="n"/>
      <c r="J42" s="117">
        <f>IF(AND(D42&lt;&gt;"",G42&gt;0),D42/G42,"")</f>
        <v/>
      </c>
      <c r="K42" s="117">
        <f>IF(AND(D42&lt;&gt;"",F42&gt;0),D42/F42,"")</f>
        <v/>
      </c>
      <c r="L42" s="182">
        <f>IF(AND(I42&lt;&gt;"",D42&gt;0),(I42-D42)/D42,"")</f>
        <v/>
      </c>
    </row>
    <row r="43">
      <c r="D43" s="116" t="n"/>
      <c r="E43" s="181" t="n"/>
      <c r="F43" s="181" t="n"/>
      <c r="G43" s="181" t="n"/>
      <c r="H43" s="181" t="n"/>
      <c r="I43" s="116" t="n"/>
      <c r="J43" s="117">
        <f>IF(AND(D43&lt;&gt;"",G43&gt;0),D43/G43,"")</f>
        <v/>
      </c>
      <c r="K43" s="117">
        <f>IF(AND(D43&lt;&gt;"",F43&gt;0),D43/F43,"")</f>
        <v/>
      </c>
      <c r="L43" s="182">
        <f>IF(AND(I43&lt;&gt;"",D43&gt;0),(I43-D43)/D43,"")</f>
        <v/>
      </c>
    </row>
    <row r="44">
      <c r="D44" s="116" t="n"/>
      <c r="E44" s="181" t="n"/>
      <c r="F44" s="181" t="n"/>
      <c r="G44" s="181" t="n"/>
      <c r="H44" s="181" t="n"/>
      <c r="I44" s="116" t="n"/>
      <c r="J44" s="117">
        <f>IF(AND(D44&lt;&gt;"",G44&gt;0),D44/G44,"")</f>
        <v/>
      </c>
      <c r="K44" s="117">
        <f>IF(AND(D44&lt;&gt;"",F44&gt;0),D44/F44,"")</f>
        <v/>
      </c>
      <c r="L44" s="182">
        <f>IF(AND(I44&lt;&gt;"",D44&gt;0),(I44-D44)/D44,"")</f>
        <v/>
      </c>
    </row>
    <row r="45">
      <c r="D45" s="116" t="n"/>
      <c r="E45" s="181" t="n"/>
      <c r="F45" s="181" t="n"/>
      <c r="G45" s="181" t="n"/>
      <c r="H45" s="181" t="n"/>
      <c r="I45" s="116" t="n"/>
      <c r="J45" s="117">
        <f>IF(AND(D45&lt;&gt;"",G45&gt;0),D45/G45,"")</f>
        <v/>
      </c>
      <c r="K45" s="117">
        <f>IF(AND(D45&lt;&gt;"",F45&gt;0),D45/F45,"")</f>
        <v/>
      </c>
      <c r="L45" s="182">
        <f>IF(AND(I45&lt;&gt;"",D45&gt;0),(I45-D45)/D45,"")</f>
        <v/>
      </c>
    </row>
    <row r="46">
      <c r="D46" s="116" t="n"/>
      <c r="E46" s="181" t="n"/>
      <c r="F46" s="181" t="n"/>
      <c r="G46" s="181" t="n"/>
      <c r="H46" s="181" t="n"/>
      <c r="I46" s="116" t="n"/>
      <c r="J46" s="117">
        <f>IF(AND(D46&lt;&gt;"",G46&gt;0),D46/G46,"")</f>
        <v/>
      </c>
      <c r="K46" s="117">
        <f>IF(AND(D46&lt;&gt;"",F46&gt;0),D46/F46,"")</f>
        <v/>
      </c>
      <c r="L46" s="182">
        <f>IF(AND(I46&lt;&gt;"",D46&gt;0),(I46-D46)/D46,"")</f>
        <v/>
      </c>
    </row>
    <row r="47">
      <c r="D47" s="116" t="n"/>
      <c r="E47" s="181" t="n"/>
      <c r="F47" s="181" t="n"/>
      <c r="G47" s="181" t="n"/>
      <c r="H47" s="181" t="n"/>
      <c r="I47" s="116" t="n"/>
      <c r="J47" s="117">
        <f>IF(AND(D47&lt;&gt;"",G47&gt;0),D47/G47,"")</f>
        <v/>
      </c>
      <c r="K47" s="117">
        <f>IF(AND(D47&lt;&gt;"",F47&gt;0),D47/F47,"")</f>
        <v/>
      </c>
      <c r="L47" s="182">
        <f>IF(AND(I47&lt;&gt;"",D47&gt;0),(I47-D47)/D47,"")</f>
        <v/>
      </c>
    </row>
    <row r="48">
      <c r="D48" s="116" t="n"/>
      <c r="E48" s="181" t="n"/>
      <c r="F48" s="181" t="n"/>
      <c r="G48" s="181" t="n"/>
      <c r="H48" s="181" t="n"/>
      <c r="I48" s="116" t="n"/>
      <c r="J48" s="117">
        <f>IF(AND(D48&lt;&gt;"",G48&gt;0),D48/G48,"")</f>
        <v/>
      </c>
      <c r="K48" s="117">
        <f>IF(AND(D48&lt;&gt;"",F48&gt;0),D48/F48,"")</f>
        <v/>
      </c>
      <c r="L48" s="182">
        <f>IF(AND(I48&lt;&gt;"",D48&gt;0),(I48-D48)/D48,"")</f>
        <v/>
      </c>
    </row>
    <row r="49">
      <c r="D49" s="116" t="n"/>
      <c r="E49" s="181" t="n"/>
      <c r="F49" s="181" t="n"/>
      <c r="G49" s="181" t="n"/>
      <c r="H49" s="181" t="n"/>
      <c r="I49" s="116" t="n"/>
      <c r="J49" s="117">
        <f>IF(AND(D49&lt;&gt;"",G49&gt;0),D49/G49,"")</f>
        <v/>
      </c>
      <c r="K49" s="117">
        <f>IF(AND(D49&lt;&gt;"",F49&gt;0),D49/F49,"")</f>
        <v/>
      </c>
      <c r="L49" s="182">
        <f>IF(AND(I49&lt;&gt;"",D49&gt;0),(I49-D49)/D49,"")</f>
        <v/>
      </c>
    </row>
    <row r="50">
      <c r="D50" s="116" t="n"/>
      <c r="E50" s="181" t="n"/>
      <c r="F50" s="181" t="n"/>
      <c r="G50" s="181" t="n"/>
      <c r="H50" s="181" t="n"/>
      <c r="I50" s="116" t="n"/>
      <c r="J50" s="117">
        <f>IF(AND(D50&lt;&gt;"",G50&gt;0),D50/G50,"")</f>
        <v/>
      </c>
      <c r="K50" s="117">
        <f>IF(AND(D50&lt;&gt;"",F50&gt;0),D50/F50,"")</f>
        <v/>
      </c>
      <c r="L50" s="182">
        <f>IF(AND(I50&lt;&gt;"",D50&gt;0),(I50-D50)/D50,"")</f>
        <v/>
      </c>
    </row>
    <row r="51">
      <c r="D51" s="116" t="n"/>
      <c r="E51" s="181" t="n"/>
      <c r="F51" s="181" t="n"/>
      <c r="G51" s="181" t="n"/>
      <c r="H51" s="181" t="n"/>
      <c r="I51" s="116" t="n"/>
      <c r="J51" s="117">
        <f>IF(AND(D51&lt;&gt;"",G51&gt;0),D51/G51,"")</f>
        <v/>
      </c>
      <c r="K51" s="117">
        <f>IF(AND(D51&lt;&gt;"",F51&gt;0),D51/F51,"")</f>
        <v/>
      </c>
      <c r="L51" s="182">
        <f>IF(AND(I51&lt;&gt;"",D51&gt;0),(I51-D51)/D51,"")</f>
        <v/>
      </c>
    </row>
    <row r="52">
      <c r="D52" s="116" t="n"/>
      <c r="E52" s="181" t="n"/>
      <c r="F52" s="181" t="n"/>
      <c r="G52" s="181" t="n"/>
      <c r="H52" s="181" t="n"/>
      <c r="I52" s="116" t="n"/>
      <c r="J52" s="117">
        <f>IF(AND(D52&lt;&gt;"",G52&gt;0),D52/G52,"")</f>
        <v/>
      </c>
      <c r="K52" s="117">
        <f>IF(AND(D52&lt;&gt;"",F52&gt;0),D52/F52,"")</f>
        <v/>
      </c>
      <c r="L52" s="182">
        <f>IF(AND(I52&lt;&gt;"",D52&gt;0),(I52-D52)/D52,"")</f>
        <v/>
      </c>
    </row>
    <row r="53">
      <c r="D53" s="116" t="n"/>
      <c r="E53" s="181" t="n"/>
      <c r="F53" s="181" t="n"/>
      <c r="G53" s="181" t="n"/>
      <c r="H53" s="181" t="n"/>
      <c r="I53" s="116" t="n"/>
      <c r="J53" s="117">
        <f>IF(AND(D53&lt;&gt;"",G53&gt;0),D53/G53,"")</f>
        <v/>
      </c>
      <c r="K53" s="117">
        <f>IF(AND(D53&lt;&gt;"",F53&gt;0),D53/F53,"")</f>
        <v/>
      </c>
      <c r="L53" s="182">
        <f>IF(AND(I53&lt;&gt;"",D53&gt;0),(I53-D53)/D53,"")</f>
        <v/>
      </c>
    </row>
    <row r="54">
      <c r="D54" s="116" t="n"/>
      <c r="E54" s="181" t="n"/>
      <c r="F54" s="181" t="n"/>
      <c r="G54" s="181" t="n"/>
      <c r="H54" s="181" t="n"/>
      <c r="I54" s="116" t="n"/>
      <c r="J54" s="117">
        <f>IF(AND(D54&lt;&gt;"",G54&gt;0),D54/G54,"")</f>
        <v/>
      </c>
      <c r="K54" s="117">
        <f>IF(AND(D54&lt;&gt;"",F54&gt;0),D54/F54,"")</f>
        <v/>
      </c>
      <c r="L54" s="182">
        <f>IF(AND(I54&lt;&gt;"",D54&gt;0),(I54-D54)/D54,"")</f>
        <v/>
      </c>
    </row>
    <row r="55">
      <c r="D55" s="116" t="n"/>
      <c r="E55" s="181" t="n"/>
      <c r="F55" s="181" t="n"/>
      <c r="G55" s="181" t="n"/>
      <c r="H55" s="181" t="n"/>
      <c r="I55" s="116" t="n"/>
      <c r="J55" s="117">
        <f>IF(AND(D55&lt;&gt;"",G55&gt;0),D55/G55,"")</f>
        <v/>
      </c>
      <c r="K55" s="117">
        <f>IF(AND(D55&lt;&gt;"",F55&gt;0),D55/F55,"")</f>
        <v/>
      </c>
      <c r="L55" s="182">
        <f>IF(AND(I55&lt;&gt;"",D55&gt;0),(I55-D55)/D55,"")</f>
        <v/>
      </c>
    </row>
    <row r="56">
      <c r="D56" s="116" t="n"/>
      <c r="E56" s="181" t="n"/>
      <c r="F56" s="181" t="n"/>
      <c r="G56" s="181" t="n"/>
      <c r="H56" s="181" t="n"/>
      <c r="I56" s="116" t="n"/>
      <c r="J56" s="117">
        <f>IF(AND(D56&lt;&gt;"",G56&gt;0),D56/G56,"")</f>
        <v/>
      </c>
      <c r="K56" s="117">
        <f>IF(AND(D56&lt;&gt;"",F56&gt;0),D56/F56,"")</f>
        <v/>
      </c>
      <c r="L56" s="182">
        <f>IF(AND(I56&lt;&gt;"",D56&gt;0),(I56-D56)/D56,"")</f>
        <v/>
      </c>
    </row>
    <row r="57">
      <c r="D57" s="116" t="n"/>
      <c r="E57" s="181" t="n"/>
      <c r="F57" s="181" t="n"/>
      <c r="G57" s="181" t="n"/>
      <c r="H57" s="181" t="n"/>
      <c r="I57" s="116" t="n"/>
      <c r="J57" s="117">
        <f>IF(AND(D57&lt;&gt;"",G57&gt;0),D57/G57,"")</f>
        <v/>
      </c>
      <c r="K57" s="117">
        <f>IF(AND(D57&lt;&gt;"",F57&gt;0),D57/F57,"")</f>
        <v/>
      </c>
      <c r="L57" s="182">
        <f>IF(AND(I57&lt;&gt;"",D57&gt;0),(I57-D57)/D57,"")</f>
        <v/>
      </c>
    </row>
    <row r="58">
      <c r="D58" s="116" t="n"/>
      <c r="E58" s="181" t="n"/>
      <c r="F58" s="181" t="n"/>
      <c r="G58" s="181" t="n"/>
      <c r="H58" s="181" t="n"/>
      <c r="I58" s="116" t="n"/>
      <c r="J58" s="117">
        <f>IF(AND(D58&lt;&gt;"",G58&gt;0),D58/G58,"")</f>
        <v/>
      </c>
      <c r="K58" s="117">
        <f>IF(AND(D58&lt;&gt;"",F58&gt;0),D58/F58,"")</f>
        <v/>
      </c>
      <c r="L58" s="182">
        <f>IF(AND(I58&lt;&gt;"",D58&gt;0),(I58-D58)/D58,"")</f>
        <v/>
      </c>
    </row>
    <row r="59">
      <c r="D59" s="116" t="n"/>
      <c r="E59" s="181" t="n"/>
      <c r="F59" s="181" t="n"/>
      <c r="G59" s="181" t="n"/>
      <c r="H59" s="181" t="n"/>
      <c r="I59" s="116" t="n"/>
      <c r="J59" s="117">
        <f>IF(AND(D59&lt;&gt;"",G59&gt;0),D59/G59,"")</f>
        <v/>
      </c>
      <c r="K59" s="117">
        <f>IF(AND(D59&lt;&gt;"",F59&gt;0),D59/F59,"")</f>
        <v/>
      </c>
      <c r="L59" s="182">
        <f>IF(AND(I59&lt;&gt;"",D59&gt;0),(I59-D59)/D59,"")</f>
        <v/>
      </c>
    </row>
    <row r="60">
      <c r="D60" s="116" t="n"/>
      <c r="E60" s="181" t="n"/>
      <c r="F60" s="181" t="n"/>
      <c r="G60" s="181" t="n"/>
      <c r="H60" s="181" t="n"/>
      <c r="I60" s="116" t="n"/>
      <c r="J60" s="117">
        <f>IF(AND(D60&lt;&gt;"",G60&gt;0),D60/G60,"")</f>
        <v/>
      </c>
      <c r="K60" s="117">
        <f>IF(AND(D60&lt;&gt;"",F60&gt;0),D60/F60,"")</f>
        <v/>
      </c>
      <c r="L60" s="182">
        <f>IF(AND(I60&lt;&gt;"",D60&gt;0),(I60-D60)/D60,"")</f>
        <v/>
      </c>
    </row>
    <row r="61">
      <c r="D61" s="116" t="n"/>
      <c r="E61" s="181" t="n"/>
      <c r="F61" s="181" t="n"/>
      <c r="G61" s="181" t="n"/>
      <c r="H61" s="181" t="n"/>
      <c r="I61" s="116" t="n"/>
      <c r="J61" s="117">
        <f>IF(AND(D61&lt;&gt;"",G61&gt;0),D61/G61,"")</f>
        <v/>
      </c>
      <c r="K61" s="117">
        <f>IF(AND(D61&lt;&gt;"",F61&gt;0),D61/F61,"")</f>
        <v/>
      </c>
      <c r="L61" s="182">
        <f>IF(AND(I61&lt;&gt;"",D61&gt;0),(I61-D61)/D61,"")</f>
        <v/>
      </c>
    </row>
    <row r="62">
      <c r="D62" s="116" t="n"/>
      <c r="E62" s="181" t="n"/>
      <c r="F62" s="181" t="n"/>
      <c r="G62" s="181" t="n"/>
      <c r="H62" s="181" t="n"/>
      <c r="I62" s="116" t="n"/>
      <c r="J62" s="117">
        <f>IF(AND(D62&lt;&gt;"",G62&gt;0),D62/G62,"")</f>
        <v/>
      </c>
      <c r="K62" s="117">
        <f>IF(AND(D62&lt;&gt;"",F62&gt;0),D62/F62,"")</f>
        <v/>
      </c>
      <c r="L62" s="182">
        <f>IF(AND(I62&lt;&gt;"",D62&gt;0),(I62-D62)/D62,"")</f>
        <v/>
      </c>
    </row>
    <row r="63">
      <c r="D63" s="116" t="n"/>
      <c r="E63" s="181" t="n"/>
      <c r="F63" s="181" t="n"/>
      <c r="G63" s="181" t="n"/>
      <c r="H63" s="181" t="n"/>
      <c r="I63" s="116" t="n"/>
      <c r="J63" s="117">
        <f>IF(AND(D63&lt;&gt;"",G63&gt;0),D63/G63,"")</f>
        <v/>
      </c>
      <c r="K63" s="117">
        <f>IF(AND(D63&lt;&gt;"",F63&gt;0),D63/F63,"")</f>
        <v/>
      </c>
      <c r="L63" s="182">
        <f>IF(AND(I63&lt;&gt;"",D63&gt;0),(I63-D63)/D63,"")</f>
        <v/>
      </c>
    </row>
    <row r="64">
      <c r="D64" s="116" t="n"/>
      <c r="E64" s="181" t="n"/>
      <c r="F64" s="181" t="n"/>
      <c r="G64" s="181" t="n"/>
      <c r="H64" s="181" t="n"/>
      <c r="I64" s="116" t="n"/>
      <c r="J64" s="117">
        <f>IF(AND(D64&lt;&gt;"",G64&gt;0),D64/G64,"")</f>
        <v/>
      </c>
      <c r="K64" s="117">
        <f>IF(AND(D64&lt;&gt;"",F64&gt;0),D64/F64,"")</f>
        <v/>
      </c>
      <c r="L64" s="182">
        <f>IF(AND(I64&lt;&gt;"",D64&gt;0),(I64-D64)/D64,"")</f>
        <v/>
      </c>
    </row>
    <row r="65">
      <c r="D65" s="116" t="n"/>
      <c r="E65" s="181" t="n"/>
      <c r="F65" s="181" t="n"/>
      <c r="G65" s="181" t="n"/>
      <c r="H65" s="181" t="n"/>
      <c r="I65" s="116" t="n"/>
      <c r="J65" s="117">
        <f>IF(AND(D65&lt;&gt;"",G65&gt;0),D65/G65,"")</f>
        <v/>
      </c>
      <c r="K65" s="117">
        <f>IF(AND(D65&lt;&gt;"",F65&gt;0),D65/F65,"")</f>
        <v/>
      </c>
      <c r="L65" s="182">
        <f>IF(AND(I65&lt;&gt;"",D65&gt;0),(I65-D65)/D65,"")</f>
        <v/>
      </c>
    </row>
    <row r="66">
      <c r="D66" s="116" t="n"/>
      <c r="E66" s="181" t="n"/>
      <c r="F66" s="181" t="n"/>
      <c r="G66" s="181" t="n"/>
      <c r="H66" s="181" t="n"/>
      <c r="I66" s="116" t="n"/>
      <c r="J66" s="117">
        <f>IF(AND(D66&lt;&gt;"",G66&gt;0),D66/G66,"")</f>
        <v/>
      </c>
      <c r="K66" s="117">
        <f>IF(AND(D66&lt;&gt;"",F66&gt;0),D66/F66,"")</f>
        <v/>
      </c>
      <c r="L66" s="182">
        <f>IF(AND(I66&lt;&gt;"",D66&gt;0),(I66-D66)/D66,"")</f>
        <v/>
      </c>
    </row>
    <row r="67">
      <c r="D67" s="116" t="n"/>
      <c r="E67" s="181" t="n"/>
      <c r="F67" s="181" t="n"/>
      <c r="G67" s="181" t="n"/>
      <c r="H67" s="181" t="n"/>
      <c r="I67" s="116" t="n"/>
      <c r="J67" s="117">
        <f>IF(AND(D67&lt;&gt;"",G67&gt;0),D67/G67,"")</f>
        <v/>
      </c>
      <c r="K67" s="117">
        <f>IF(AND(D67&lt;&gt;"",F67&gt;0),D67/F67,"")</f>
        <v/>
      </c>
      <c r="L67" s="182">
        <f>IF(AND(I67&lt;&gt;"",D67&gt;0),(I67-D67)/D67,"")</f>
        <v/>
      </c>
    </row>
    <row r="68">
      <c r="D68" s="116" t="n"/>
      <c r="E68" s="181" t="n"/>
      <c r="F68" s="181" t="n"/>
      <c r="G68" s="181" t="n"/>
      <c r="H68" s="181" t="n"/>
      <c r="I68" s="116" t="n"/>
      <c r="J68" s="117">
        <f>IF(AND(D68&lt;&gt;"",G68&gt;0),D68/G68,"")</f>
        <v/>
      </c>
      <c r="K68" s="117">
        <f>IF(AND(D68&lt;&gt;"",F68&gt;0),D68/F68,"")</f>
        <v/>
      </c>
      <c r="L68" s="182">
        <f>IF(AND(I68&lt;&gt;"",D68&gt;0),(I68-D68)/D68,"")</f>
        <v/>
      </c>
    </row>
    <row r="69">
      <c r="D69" s="116" t="n"/>
      <c r="E69" s="181" t="n"/>
      <c r="F69" s="181" t="n"/>
      <c r="G69" s="181" t="n"/>
      <c r="H69" s="181" t="n"/>
      <c r="I69" s="116" t="n"/>
      <c r="J69" s="117">
        <f>IF(AND(D69&lt;&gt;"",G69&gt;0),D69/G69,"")</f>
        <v/>
      </c>
      <c r="K69" s="117">
        <f>IF(AND(D69&lt;&gt;"",F69&gt;0),D69/F69,"")</f>
        <v/>
      </c>
      <c r="L69" s="182">
        <f>IF(AND(I69&lt;&gt;"",D69&gt;0),(I69-D69)/D69,"")</f>
        <v/>
      </c>
    </row>
    <row r="70">
      <c r="D70" s="116" t="n"/>
      <c r="E70" s="181" t="n"/>
      <c r="F70" s="181" t="n"/>
      <c r="G70" s="181" t="n"/>
      <c r="H70" s="181" t="n"/>
      <c r="I70" s="116" t="n"/>
      <c r="J70" s="117">
        <f>IF(AND(D70&lt;&gt;"",G70&gt;0),D70/G70,"")</f>
        <v/>
      </c>
      <c r="K70" s="117">
        <f>IF(AND(D70&lt;&gt;"",F70&gt;0),D70/F70,"")</f>
        <v/>
      </c>
      <c r="L70" s="182">
        <f>IF(AND(I70&lt;&gt;"",D70&gt;0),(I70-D70)/D70,"")</f>
        <v/>
      </c>
    </row>
    <row r="71">
      <c r="D71" s="116" t="n"/>
      <c r="E71" s="181" t="n"/>
      <c r="F71" s="181" t="n"/>
      <c r="G71" s="181" t="n"/>
      <c r="H71" s="181" t="n"/>
      <c r="I71" s="116" t="n"/>
      <c r="J71" s="117">
        <f>IF(AND(D71&lt;&gt;"",G71&gt;0),D71/G71,"")</f>
        <v/>
      </c>
      <c r="K71" s="117">
        <f>IF(AND(D71&lt;&gt;"",F71&gt;0),D71/F71,"")</f>
        <v/>
      </c>
      <c r="L71" s="182">
        <f>IF(AND(I71&lt;&gt;"",D71&gt;0),(I71-D71)/D71,"")</f>
        <v/>
      </c>
    </row>
    <row r="72">
      <c r="D72" s="116" t="n"/>
      <c r="E72" s="181" t="n"/>
      <c r="F72" s="181" t="n"/>
      <c r="G72" s="181" t="n"/>
      <c r="H72" s="181" t="n"/>
      <c r="I72" s="116" t="n"/>
      <c r="J72" s="117">
        <f>IF(AND(D72&lt;&gt;"",G72&gt;0),D72/G72,"")</f>
        <v/>
      </c>
      <c r="K72" s="117">
        <f>IF(AND(D72&lt;&gt;"",F72&gt;0),D72/F72,"")</f>
        <v/>
      </c>
      <c r="L72" s="182">
        <f>IF(AND(I72&lt;&gt;"",D72&gt;0),(I72-D72)/D72,"")</f>
        <v/>
      </c>
    </row>
    <row r="73">
      <c r="D73" s="116" t="n"/>
      <c r="E73" s="181" t="n"/>
      <c r="F73" s="181" t="n"/>
      <c r="G73" s="181" t="n"/>
      <c r="H73" s="181" t="n"/>
      <c r="I73" s="116" t="n"/>
      <c r="J73" s="117">
        <f>IF(AND(D73&lt;&gt;"",G73&gt;0),D73/G73,"")</f>
        <v/>
      </c>
      <c r="K73" s="117">
        <f>IF(AND(D73&lt;&gt;"",F73&gt;0),D73/F73,"")</f>
        <v/>
      </c>
      <c r="L73" s="182">
        <f>IF(AND(I73&lt;&gt;"",D73&gt;0),(I73-D73)/D73,"")</f>
        <v/>
      </c>
    </row>
    <row r="74">
      <c r="D74" s="116" t="n"/>
      <c r="E74" s="181" t="n"/>
      <c r="F74" s="181" t="n"/>
      <c r="G74" s="181" t="n"/>
      <c r="H74" s="181" t="n"/>
      <c r="I74" s="116" t="n"/>
      <c r="J74" s="117">
        <f>IF(AND(D74&lt;&gt;"",G74&gt;0),D74/G74,"")</f>
        <v/>
      </c>
      <c r="K74" s="117">
        <f>IF(AND(D74&lt;&gt;"",F74&gt;0),D74/F74,"")</f>
        <v/>
      </c>
      <c r="L74" s="182">
        <f>IF(AND(I74&lt;&gt;"",D74&gt;0),(I74-D74)/D74,"")</f>
        <v/>
      </c>
    </row>
    <row r="75">
      <c r="D75" s="116" t="n"/>
      <c r="E75" s="181" t="n"/>
      <c r="F75" s="181" t="n"/>
      <c r="G75" s="181" t="n"/>
      <c r="H75" s="181" t="n"/>
      <c r="I75" s="116" t="n"/>
      <c r="J75" s="117">
        <f>IF(AND(D75&lt;&gt;"",G75&gt;0),D75/G75,"")</f>
        <v/>
      </c>
      <c r="K75" s="117">
        <f>IF(AND(D75&lt;&gt;"",F75&gt;0),D75/F75,"")</f>
        <v/>
      </c>
      <c r="L75" s="182">
        <f>IF(AND(I75&lt;&gt;"",D75&gt;0),(I75-D75)/D75,"")</f>
        <v/>
      </c>
    </row>
    <row r="76">
      <c r="D76" s="116" t="n"/>
      <c r="E76" s="181" t="n"/>
      <c r="F76" s="181" t="n"/>
      <c r="G76" s="181" t="n"/>
      <c r="H76" s="181" t="n"/>
      <c r="I76" s="116" t="n"/>
      <c r="J76" s="117">
        <f>IF(AND(D76&lt;&gt;"",G76&gt;0),D76/G76,"")</f>
        <v/>
      </c>
      <c r="K76" s="117">
        <f>IF(AND(D76&lt;&gt;"",F76&gt;0),D76/F76,"")</f>
        <v/>
      </c>
      <c r="L76" s="182">
        <f>IF(AND(I76&lt;&gt;"",D76&gt;0),(I76-D76)/D76,"")</f>
        <v/>
      </c>
    </row>
    <row r="77">
      <c r="D77" s="116" t="n"/>
      <c r="E77" s="181" t="n"/>
      <c r="F77" s="181" t="n"/>
      <c r="G77" s="181" t="n"/>
      <c r="H77" s="181" t="n"/>
      <c r="I77" s="116" t="n"/>
      <c r="J77" s="117">
        <f>IF(AND(D77&lt;&gt;"",G77&gt;0),D77/G77,"")</f>
        <v/>
      </c>
      <c r="K77" s="117">
        <f>IF(AND(D77&lt;&gt;"",F77&gt;0),D77/F77,"")</f>
        <v/>
      </c>
      <c r="L77" s="182">
        <f>IF(AND(I77&lt;&gt;"",D77&gt;0),(I77-D77)/D77,"")</f>
        <v/>
      </c>
    </row>
    <row r="78">
      <c r="D78" s="116" t="n"/>
      <c r="E78" s="181" t="n"/>
      <c r="F78" s="181" t="n"/>
      <c r="G78" s="181" t="n"/>
      <c r="H78" s="181" t="n"/>
      <c r="I78" s="116" t="n"/>
      <c r="J78" s="117">
        <f>IF(AND(D78&lt;&gt;"",G78&gt;0),D78/G78,"")</f>
        <v/>
      </c>
      <c r="K78" s="117">
        <f>IF(AND(D78&lt;&gt;"",F78&gt;0),D78/F78,"")</f>
        <v/>
      </c>
      <c r="L78" s="182">
        <f>IF(AND(I78&lt;&gt;"",D78&gt;0),(I78-D78)/D78,"")</f>
        <v/>
      </c>
    </row>
    <row r="79">
      <c r="D79" s="116" t="n"/>
      <c r="E79" s="181" t="n"/>
      <c r="F79" s="181" t="n"/>
      <c r="G79" s="181" t="n"/>
      <c r="H79" s="181" t="n"/>
      <c r="I79" s="116" t="n"/>
      <c r="J79" s="117">
        <f>IF(AND(D79&lt;&gt;"",G79&gt;0),D79/G79,"")</f>
        <v/>
      </c>
      <c r="K79" s="117">
        <f>IF(AND(D79&lt;&gt;"",F79&gt;0),D79/F79,"")</f>
        <v/>
      </c>
      <c r="L79" s="182">
        <f>IF(AND(I79&lt;&gt;"",D79&gt;0),(I79-D79)/D79,"")</f>
        <v/>
      </c>
    </row>
    <row r="80">
      <c r="D80" s="116" t="n"/>
      <c r="E80" s="181" t="n"/>
      <c r="F80" s="181" t="n"/>
      <c r="G80" s="181" t="n"/>
      <c r="H80" s="181" t="n"/>
      <c r="I80" s="116" t="n"/>
      <c r="J80" s="117">
        <f>IF(AND(D80&lt;&gt;"",G80&gt;0),D80/G80,"")</f>
        <v/>
      </c>
      <c r="K80" s="117">
        <f>IF(AND(D80&lt;&gt;"",F80&gt;0),D80/F80,"")</f>
        <v/>
      </c>
      <c r="L80" s="182">
        <f>IF(AND(I80&lt;&gt;"",D80&gt;0),(I80-D80)/D80,"")</f>
        <v/>
      </c>
    </row>
    <row r="81">
      <c r="D81" s="116" t="n"/>
      <c r="E81" s="181" t="n"/>
      <c r="F81" s="181" t="n"/>
      <c r="G81" s="181" t="n"/>
      <c r="H81" s="181" t="n"/>
      <c r="I81" s="116" t="n"/>
      <c r="J81" s="117">
        <f>IF(AND(D81&lt;&gt;"",G81&gt;0),D81/G81,"")</f>
        <v/>
      </c>
      <c r="K81" s="117">
        <f>IF(AND(D81&lt;&gt;"",F81&gt;0),D81/F81,"")</f>
        <v/>
      </c>
      <c r="L81" s="182">
        <f>IF(AND(I81&lt;&gt;"",D81&gt;0),(I81-D81)/D81,"")</f>
        <v/>
      </c>
    </row>
    <row r="82">
      <c r="D82" s="116" t="n"/>
      <c r="E82" s="181" t="n"/>
      <c r="F82" s="181" t="n"/>
      <c r="G82" s="181" t="n"/>
      <c r="H82" s="181" t="n"/>
      <c r="I82" s="116" t="n"/>
      <c r="J82" s="117">
        <f>IF(AND(D82&lt;&gt;"",G82&gt;0),D82/G82,"")</f>
        <v/>
      </c>
      <c r="K82" s="117">
        <f>IF(AND(D82&lt;&gt;"",F82&gt;0),D82/F82,"")</f>
        <v/>
      </c>
      <c r="L82" s="182">
        <f>IF(AND(I82&lt;&gt;"",D82&gt;0),(I82-D82)/D82,"")</f>
        <v/>
      </c>
    </row>
    <row r="83">
      <c r="D83" s="116" t="n"/>
      <c r="E83" s="181" t="n"/>
      <c r="F83" s="181" t="n"/>
      <c r="G83" s="181" t="n"/>
      <c r="H83" s="181" t="n"/>
      <c r="I83" s="116" t="n"/>
      <c r="J83" s="117">
        <f>IF(AND(D83&lt;&gt;"",G83&gt;0),D83/G83,"")</f>
        <v/>
      </c>
      <c r="K83" s="117">
        <f>IF(AND(D83&lt;&gt;"",F83&gt;0),D83/F83,"")</f>
        <v/>
      </c>
      <c r="L83" s="182">
        <f>IF(AND(I83&lt;&gt;"",D83&gt;0),(I83-D83)/D83,"")</f>
        <v/>
      </c>
    </row>
    <row r="84">
      <c r="D84" s="116" t="n"/>
      <c r="E84" s="181" t="n"/>
      <c r="F84" s="181" t="n"/>
      <c r="G84" s="181" t="n"/>
      <c r="H84" s="181" t="n"/>
      <c r="I84" s="116" t="n"/>
      <c r="J84" s="117">
        <f>IF(AND(D84&lt;&gt;"",G84&gt;0),D84/G84,"")</f>
        <v/>
      </c>
      <c r="K84" s="117">
        <f>IF(AND(D84&lt;&gt;"",F84&gt;0),D84/F84,"")</f>
        <v/>
      </c>
      <c r="L84" s="182">
        <f>IF(AND(I84&lt;&gt;"",D84&gt;0),(I84-D84)/D84,"")</f>
        <v/>
      </c>
    </row>
    <row r="85">
      <c r="D85" s="116" t="n"/>
      <c r="E85" s="181" t="n"/>
      <c r="F85" s="181" t="n"/>
      <c r="G85" s="181" t="n"/>
      <c r="H85" s="181" t="n"/>
      <c r="I85" s="116" t="n"/>
      <c r="J85" s="117">
        <f>IF(AND(D85&lt;&gt;"",G85&gt;0),D85/G85,"")</f>
        <v/>
      </c>
      <c r="K85" s="117">
        <f>IF(AND(D85&lt;&gt;"",F85&gt;0),D85/F85,"")</f>
        <v/>
      </c>
      <c r="L85" s="182">
        <f>IF(AND(I85&lt;&gt;"",D85&gt;0),(I85-D85)/D85,"")</f>
        <v/>
      </c>
    </row>
    <row r="86">
      <c r="D86" s="116" t="n"/>
      <c r="E86" s="181" t="n"/>
      <c r="F86" s="181" t="n"/>
      <c r="G86" s="181" t="n"/>
      <c r="H86" s="181" t="n"/>
      <c r="I86" s="116" t="n"/>
      <c r="J86" s="117">
        <f>IF(AND(D86&lt;&gt;"",G86&gt;0),D86/G86,"")</f>
        <v/>
      </c>
      <c r="K86" s="117">
        <f>IF(AND(D86&lt;&gt;"",F86&gt;0),D86/F86,"")</f>
        <v/>
      </c>
      <c r="L86" s="182">
        <f>IF(AND(I86&lt;&gt;"",D86&gt;0),(I86-D86)/D86,"")</f>
        <v/>
      </c>
    </row>
    <row r="87">
      <c r="D87" s="116" t="n"/>
      <c r="E87" s="181" t="n"/>
      <c r="F87" s="181" t="n"/>
      <c r="G87" s="181" t="n"/>
      <c r="H87" s="181" t="n"/>
      <c r="I87" s="116" t="n"/>
      <c r="J87" s="117">
        <f>IF(AND(D87&lt;&gt;"",G87&gt;0),D87/G87,"")</f>
        <v/>
      </c>
      <c r="K87" s="117">
        <f>IF(AND(D87&lt;&gt;"",F87&gt;0),D87/F87,"")</f>
        <v/>
      </c>
      <c r="L87" s="182">
        <f>IF(AND(I87&lt;&gt;"",D87&gt;0),(I87-D87)/D87,"")</f>
        <v/>
      </c>
    </row>
    <row r="88">
      <c r="D88" s="116" t="n"/>
      <c r="E88" s="181" t="n"/>
      <c r="F88" s="181" t="n"/>
      <c r="G88" s="181" t="n"/>
      <c r="H88" s="181" t="n"/>
      <c r="I88" s="116" t="n"/>
      <c r="J88" s="117">
        <f>IF(AND(D88&lt;&gt;"",G88&gt;0),D88/G88,"")</f>
        <v/>
      </c>
      <c r="K88" s="117">
        <f>IF(AND(D88&lt;&gt;"",F88&gt;0),D88/F88,"")</f>
        <v/>
      </c>
      <c r="L88" s="182">
        <f>IF(AND(I88&lt;&gt;"",D88&gt;0),(I88-D88)/D88,"")</f>
        <v/>
      </c>
    </row>
    <row r="89">
      <c r="D89" s="116" t="n"/>
      <c r="E89" s="181" t="n"/>
      <c r="F89" s="181" t="n"/>
      <c r="G89" s="181" t="n"/>
      <c r="H89" s="181" t="n"/>
      <c r="I89" s="116" t="n"/>
      <c r="J89" s="117">
        <f>IF(AND(D89&lt;&gt;"",G89&gt;0),D89/G89,"")</f>
        <v/>
      </c>
      <c r="K89" s="117">
        <f>IF(AND(D89&lt;&gt;"",F89&gt;0),D89/F89,"")</f>
        <v/>
      </c>
      <c r="L89" s="182">
        <f>IF(AND(I89&lt;&gt;"",D89&gt;0),(I89-D89)/D89,"")</f>
        <v/>
      </c>
    </row>
    <row r="90">
      <c r="D90" s="116" t="n"/>
      <c r="E90" s="181" t="n"/>
      <c r="F90" s="181" t="n"/>
      <c r="G90" s="181" t="n"/>
      <c r="H90" s="181" t="n"/>
      <c r="I90" s="116" t="n"/>
      <c r="J90" s="117">
        <f>IF(AND(D90&lt;&gt;"",G90&gt;0),D90/G90,"")</f>
        <v/>
      </c>
      <c r="K90" s="117">
        <f>IF(AND(D90&lt;&gt;"",F90&gt;0),D90/F90,"")</f>
        <v/>
      </c>
      <c r="L90" s="182">
        <f>IF(AND(I90&lt;&gt;"",D90&gt;0),(I90-D90)/D90,"")</f>
        <v/>
      </c>
    </row>
    <row r="91">
      <c r="D91" s="116" t="n"/>
      <c r="E91" s="181" t="n"/>
      <c r="F91" s="181" t="n"/>
      <c r="G91" s="181" t="n"/>
      <c r="H91" s="181" t="n"/>
      <c r="I91" s="116" t="n"/>
      <c r="J91" s="117">
        <f>IF(AND(D91&lt;&gt;"",G91&gt;0),D91/G91,"")</f>
        <v/>
      </c>
      <c r="K91" s="117">
        <f>IF(AND(D91&lt;&gt;"",F91&gt;0),D91/F91,"")</f>
        <v/>
      </c>
      <c r="L91" s="182">
        <f>IF(AND(I91&lt;&gt;"",D91&gt;0),(I91-D91)/D91,"")</f>
        <v/>
      </c>
    </row>
    <row r="92">
      <c r="D92" s="116" t="n"/>
      <c r="E92" s="181" t="n"/>
      <c r="F92" s="181" t="n"/>
      <c r="G92" s="181" t="n"/>
      <c r="H92" s="181" t="n"/>
      <c r="I92" s="116" t="n"/>
      <c r="J92" s="117">
        <f>IF(AND(D92&lt;&gt;"",G92&gt;0),D92/G92,"")</f>
        <v/>
      </c>
      <c r="K92" s="117">
        <f>IF(AND(D92&lt;&gt;"",F92&gt;0),D92/F92,"")</f>
        <v/>
      </c>
      <c r="L92" s="182">
        <f>IF(AND(I92&lt;&gt;"",D92&gt;0),(I92-D92)/D92,"")</f>
        <v/>
      </c>
    </row>
    <row r="93">
      <c r="D93" s="116" t="n"/>
      <c r="E93" s="181" t="n"/>
      <c r="F93" s="181" t="n"/>
      <c r="G93" s="181" t="n"/>
      <c r="H93" s="181" t="n"/>
      <c r="I93" s="116" t="n"/>
      <c r="J93" s="117">
        <f>IF(AND(D93&lt;&gt;"",G93&gt;0),D93/G93,"")</f>
        <v/>
      </c>
      <c r="K93" s="117">
        <f>IF(AND(D93&lt;&gt;"",F93&gt;0),D93/F93,"")</f>
        <v/>
      </c>
      <c r="L93" s="182">
        <f>IF(AND(I93&lt;&gt;"",D93&gt;0),(I93-D93)/D93,"")</f>
        <v/>
      </c>
    </row>
    <row r="94">
      <c r="D94" s="116" t="n"/>
      <c r="E94" s="181" t="n"/>
      <c r="F94" s="181" t="n"/>
      <c r="G94" s="181" t="n"/>
      <c r="H94" s="181" t="n"/>
      <c r="I94" s="116" t="n"/>
      <c r="J94" s="117">
        <f>IF(AND(D94&lt;&gt;"",G94&gt;0),D94/G94,"")</f>
        <v/>
      </c>
      <c r="K94" s="117">
        <f>IF(AND(D94&lt;&gt;"",F94&gt;0),D94/F94,"")</f>
        <v/>
      </c>
      <c r="L94" s="182">
        <f>IF(AND(I94&lt;&gt;"",D94&gt;0),(I94-D94)/D94,"")</f>
        <v/>
      </c>
    </row>
    <row r="95">
      <c r="D95" s="116" t="n"/>
      <c r="E95" s="181" t="n"/>
      <c r="F95" s="181" t="n"/>
      <c r="G95" s="181" t="n"/>
      <c r="H95" s="181" t="n"/>
      <c r="I95" s="116" t="n"/>
      <c r="J95" s="117">
        <f>IF(AND(D95&lt;&gt;"",G95&gt;0),D95/G95,"")</f>
        <v/>
      </c>
      <c r="K95" s="117">
        <f>IF(AND(D95&lt;&gt;"",F95&gt;0),D95/F95,"")</f>
        <v/>
      </c>
      <c r="L95" s="182">
        <f>IF(AND(I95&lt;&gt;"",D95&gt;0),(I95-D95)/D95,"")</f>
        <v/>
      </c>
    </row>
    <row r="96">
      <c r="D96" s="116" t="n"/>
      <c r="E96" s="181" t="n"/>
      <c r="F96" s="181" t="n"/>
      <c r="G96" s="181" t="n"/>
      <c r="H96" s="181" t="n"/>
      <c r="I96" s="116" t="n"/>
      <c r="J96" s="117">
        <f>IF(AND(D96&lt;&gt;"",G96&gt;0),D96/G96,"")</f>
        <v/>
      </c>
      <c r="K96" s="117">
        <f>IF(AND(D96&lt;&gt;"",F96&gt;0),D96/F96,"")</f>
        <v/>
      </c>
      <c r="L96" s="182">
        <f>IF(AND(I96&lt;&gt;"",D96&gt;0),(I96-D96)/D96,"")</f>
        <v/>
      </c>
    </row>
    <row r="97">
      <c r="D97" s="116" t="n"/>
      <c r="E97" s="181" t="n"/>
      <c r="F97" s="181" t="n"/>
      <c r="G97" s="181" t="n"/>
      <c r="H97" s="181" t="n"/>
      <c r="I97" s="116" t="n"/>
      <c r="J97" s="117">
        <f>IF(AND(D97&lt;&gt;"",G97&gt;0),D97/G97,"")</f>
        <v/>
      </c>
      <c r="K97" s="117">
        <f>IF(AND(D97&lt;&gt;"",F97&gt;0),D97/F97,"")</f>
        <v/>
      </c>
      <c r="L97" s="182">
        <f>IF(AND(I97&lt;&gt;"",D97&gt;0),(I97-D97)/D97,"")</f>
        <v/>
      </c>
    </row>
    <row r="98">
      <c r="D98" s="116" t="n"/>
      <c r="E98" s="181" t="n"/>
      <c r="F98" s="181" t="n"/>
      <c r="G98" s="181" t="n"/>
      <c r="H98" s="181" t="n"/>
      <c r="I98" s="116" t="n"/>
      <c r="J98" s="117">
        <f>IF(AND(D98&lt;&gt;"",G98&gt;0),D98/G98,"")</f>
        <v/>
      </c>
      <c r="K98" s="117">
        <f>IF(AND(D98&lt;&gt;"",F98&gt;0),D98/F98,"")</f>
        <v/>
      </c>
      <c r="L98" s="182">
        <f>IF(AND(I98&lt;&gt;"",D98&gt;0),(I98-D98)/D98,"")</f>
        <v/>
      </c>
    </row>
    <row r="99">
      <c r="D99" s="116" t="n"/>
      <c r="E99" s="181" t="n"/>
      <c r="F99" s="181" t="n"/>
      <c r="G99" s="181" t="n"/>
      <c r="H99" s="181" t="n"/>
      <c r="I99" s="116" t="n"/>
      <c r="J99" s="117">
        <f>IF(AND(D99&lt;&gt;"",G99&gt;0),D99/G99,"")</f>
        <v/>
      </c>
      <c r="K99" s="117">
        <f>IF(AND(D99&lt;&gt;"",F99&gt;0),D99/F99,"")</f>
        <v/>
      </c>
      <c r="L99" s="182">
        <f>IF(AND(I99&lt;&gt;"",D99&gt;0),(I99-D99)/D99,"")</f>
        <v/>
      </c>
    </row>
    <row r="100">
      <c r="D100" s="116" t="n"/>
      <c r="E100" s="181" t="n"/>
      <c r="F100" s="181" t="n"/>
      <c r="G100" s="181" t="n"/>
      <c r="H100" s="181" t="n"/>
      <c r="I100" s="116" t="n"/>
      <c r="J100" s="117">
        <f>IF(AND(D100&lt;&gt;"",G100&gt;0),D100/G100,"")</f>
        <v/>
      </c>
      <c r="K100" s="117">
        <f>IF(AND(D100&lt;&gt;"",F100&gt;0),D100/F100,"")</f>
        <v/>
      </c>
      <c r="L100" s="182">
        <f>IF(AND(I100&lt;&gt;"",D100&gt;0),(I100-D100)/D100,"")</f>
        <v/>
      </c>
    </row>
    <row r="101">
      <c r="D101" s="116" t="n"/>
      <c r="E101" s="181" t="n"/>
      <c r="F101" s="181" t="n"/>
      <c r="G101" s="181" t="n"/>
      <c r="H101" s="181" t="n"/>
      <c r="I101" s="116" t="n"/>
      <c r="J101" s="117">
        <f>IF(AND(D101&lt;&gt;"",G101&gt;0),D101/G101,"")</f>
        <v/>
      </c>
      <c r="K101" s="117">
        <f>IF(AND(D101&lt;&gt;"",F101&gt;0),D101/F101,"")</f>
        <v/>
      </c>
      <c r="L101" s="182">
        <f>IF(AND(I101&lt;&gt;"",D101&gt;0),(I101-D101)/D101,"")</f>
        <v/>
      </c>
    </row>
    <row r="102">
      <c r="D102" s="116" t="n"/>
      <c r="E102" s="181" t="n"/>
      <c r="F102" s="181" t="n"/>
      <c r="G102" s="181" t="n"/>
      <c r="H102" s="181" t="n"/>
      <c r="I102" s="116" t="n"/>
      <c r="J102" s="117">
        <f>IF(AND(D102&lt;&gt;"",G102&gt;0),D102/G102,"")</f>
        <v/>
      </c>
      <c r="K102" s="117">
        <f>IF(AND(D102&lt;&gt;"",F102&gt;0),D102/F102,"")</f>
        <v/>
      </c>
      <c r="L102" s="182">
        <f>IF(AND(I102&lt;&gt;"",D102&gt;0),(I102-D102)/D102,"")</f>
        <v/>
      </c>
    </row>
    <row r="103">
      <c r="D103" s="116" t="n"/>
      <c r="E103" s="181" t="n"/>
      <c r="F103" s="181" t="n"/>
      <c r="G103" s="181" t="n"/>
      <c r="H103" s="181" t="n"/>
      <c r="I103" s="116" t="n"/>
      <c r="J103" s="117">
        <f>IF(AND(D103&lt;&gt;"",G103&gt;0),D103/G103,"")</f>
        <v/>
      </c>
      <c r="K103" s="117">
        <f>IF(AND(D103&lt;&gt;"",F103&gt;0),D103/F103,"")</f>
        <v/>
      </c>
      <c r="L103" s="182">
        <f>IF(AND(I103&lt;&gt;"",D103&gt;0),(I103-D103)/D103,"")</f>
        <v/>
      </c>
    </row>
    <row r="104">
      <c r="D104" s="116" t="n"/>
      <c r="E104" s="181" t="n"/>
      <c r="F104" s="181" t="n"/>
      <c r="G104" s="181" t="n"/>
      <c r="H104" s="181" t="n"/>
      <c r="I104" s="116" t="n"/>
      <c r="J104" s="117">
        <f>IF(AND(D104&lt;&gt;"",G104&gt;0),D104/G104,"")</f>
        <v/>
      </c>
      <c r="K104" s="117">
        <f>IF(AND(D104&lt;&gt;"",F104&gt;0),D104/F104,"")</f>
        <v/>
      </c>
      <c r="L104" s="182">
        <f>IF(AND(I104&lt;&gt;"",D104&gt;0),(I104-D104)/D104,"")</f>
        <v/>
      </c>
    </row>
    <row r="105">
      <c r="D105" s="116" t="n"/>
      <c r="E105" s="181" t="n"/>
      <c r="F105" s="181" t="n"/>
      <c r="G105" s="181" t="n"/>
      <c r="H105" s="181" t="n"/>
      <c r="I105" s="116" t="n"/>
      <c r="J105" s="117">
        <f>IF(AND(D105&lt;&gt;"",G105&gt;0),D105/G105,"")</f>
        <v/>
      </c>
      <c r="K105" s="117">
        <f>IF(AND(D105&lt;&gt;"",F105&gt;0),D105/F105,"")</f>
        <v/>
      </c>
      <c r="L105" s="182">
        <f>IF(AND(I105&lt;&gt;"",D105&gt;0),(I105-D105)/D105,"")</f>
        <v/>
      </c>
    </row>
    <row r="106">
      <c r="D106" s="116" t="n"/>
      <c r="E106" s="181" t="n"/>
      <c r="F106" s="181" t="n"/>
      <c r="G106" s="181" t="n"/>
      <c r="H106" s="181" t="n"/>
      <c r="I106" s="116" t="n"/>
      <c r="J106" s="117">
        <f>IF(AND(D106&lt;&gt;"",G106&gt;0),D106/G106,"")</f>
        <v/>
      </c>
      <c r="K106" s="117">
        <f>IF(AND(D106&lt;&gt;"",F106&gt;0),D106/F106,"")</f>
        <v/>
      </c>
      <c r="L106" s="182">
        <f>IF(AND(I106&lt;&gt;"",D106&gt;0),(I106-D106)/D106,"")</f>
        <v/>
      </c>
    </row>
    <row r="107">
      <c r="D107" s="116" t="n"/>
      <c r="E107" s="181" t="n"/>
      <c r="F107" s="181" t="n"/>
      <c r="G107" s="181" t="n"/>
      <c r="H107" s="181" t="n"/>
      <c r="I107" s="116" t="n"/>
      <c r="J107" s="117">
        <f>IF(AND(D107&lt;&gt;"",G107&gt;0),D107/G107,"")</f>
        <v/>
      </c>
      <c r="K107" s="117">
        <f>IF(AND(D107&lt;&gt;"",F107&gt;0),D107/F107,"")</f>
        <v/>
      </c>
      <c r="L107" s="182">
        <f>IF(AND(I107&lt;&gt;"",D107&gt;0),(I107-D107)/D107,"")</f>
        <v/>
      </c>
    </row>
    <row r="108">
      <c r="D108" s="116" t="n"/>
      <c r="E108" s="181" t="n"/>
      <c r="F108" s="181" t="n"/>
      <c r="G108" s="181" t="n"/>
      <c r="H108" s="181" t="n"/>
      <c r="I108" s="116" t="n"/>
      <c r="J108" s="117">
        <f>IF(AND(D108&lt;&gt;"",G108&gt;0),D108/G108,"")</f>
        <v/>
      </c>
      <c r="K108" s="117">
        <f>IF(AND(D108&lt;&gt;"",F108&gt;0),D108/F108,"")</f>
        <v/>
      </c>
      <c r="L108" s="182">
        <f>IF(AND(I108&lt;&gt;"",D108&gt;0),(I108-D108)/D108,"")</f>
        <v/>
      </c>
    </row>
    <row r="109">
      <c r="D109" s="116" t="n"/>
      <c r="E109" s="181" t="n"/>
      <c r="F109" s="181" t="n"/>
      <c r="G109" s="181" t="n"/>
      <c r="H109" s="181" t="n"/>
      <c r="I109" s="116" t="n"/>
      <c r="J109" s="117">
        <f>IF(AND(D109&lt;&gt;"",G109&gt;0),D109/G109,"")</f>
        <v/>
      </c>
      <c r="K109" s="117">
        <f>IF(AND(D109&lt;&gt;"",F109&gt;0),D109/F109,"")</f>
        <v/>
      </c>
      <c r="L109" s="182">
        <f>IF(AND(I109&lt;&gt;"",D109&gt;0),(I109-D109)/D109,"")</f>
        <v/>
      </c>
    </row>
    <row r="110">
      <c r="D110" s="116" t="n"/>
      <c r="E110" s="181" t="n"/>
      <c r="F110" s="181" t="n"/>
      <c r="G110" s="181" t="n"/>
      <c r="H110" s="181" t="n"/>
      <c r="I110" s="116" t="n"/>
      <c r="J110" s="117">
        <f>IF(AND(D110&lt;&gt;"",G110&gt;0),D110/G110,"")</f>
        <v/>
      </c>
      <c r="K110" s="117">
        <f>IF(AND(D110&lt;&gt;"",F110&gt;0),D110/F110,"")</f>
        <v/>
      </c>
      <c r="L110" s="182">
        <f>IF(AND(I110&lt;&gt;"",D110&gt;0),(I110-D110)/D110,"")</f>
        <v/>
      </c>
    </row>
    <row r="111">
      <c r="D111" s="116" t="n"/>
      <c r="E111" s="181" t="n"/>
      <c r="F111" s="181" t="n"/>
      <c r="G111" s="181" t="n"/>
      <c r="H111" s="181" t="n"/>
      <c r="I111" s="116" t="n"/>
      <c r="J111" s="117">
        <f>IF(AND(D111&lt;&gt;"",G111&gt;0),D111/G111,"")</f>
        <v/>
      </c>
      <c r="K111" s="117">
        <f>IF(AND(D111&lt;&gt;"",F111&gt;0),D111/F111,"")</f>
        <v/>
      </c>
      <c r="L111" s="182">
        <f>IF(AND(I111&lt;&gt;"",D111&gt;0),(I111-D111)/D111,"")</f>
        <v/>
      </c>
    </row>
    <row r="112">
      <c r="D112" s="116" t="n"/>
      <c r="E112" s="181" t="n"/>
      <c r="F112" s="181" t="n"/>
      <c r="G112" s="181" t="n"/>
      <c r="H112" s="181" t="n"/>
      <c r="I112" s="116" t="n"/>
      <c r="J112" s="117">
        <f>IF(AND(D112&lt;&gt;"",G112&gt;0),D112/G112,"")</f>
        <v/>
      </c>
      <c r="K112" s="117">
        <f>IF(AND(D112&lt;&gt;"",F112&gt;0),D112/F112,"")</f>
        <v/>
      </c>
      <c r="L112" s="182">
        <f>IF(AND(I112&lt;&gt;"",D112&gt;0),(I112-D112)/D112,"")</f>
        <v/>
      </c>
    </row>
    <row r="113">
      <c r="D113" s="116" t="n"/>
      <c r="E113" s="181" t="n"/>
      <c r="F113" s="181" t="n"/>
      <c r="G113" s="181" t="n"/>
      <c r="H113" s="181" t="n"/>
      <c r="I113" s="116" t="n"/>
      <c r="J113" s="117">
        <f>IF(AND(D113&lt;&gt;"",G113&gt;0),D113/G113,"")</f>
        <v/>
      </c>
      <c r="K113" s="117">
        <f>IF(AND(D113&lt;&gt;"",F113&gt;0),D113/F113,"")</f>
        <v/>
      </c>
      <c r="L113" s="182">
        <f>IF(AND(I113&lt;&gt;"",D113&gt;0),(I113-D113)/D113,"")</f>
        <v/>
      </c>
    </row>
    <row r="114">
      <c r="D114" s="116" t="n"/>
      <c r="E114" s="181" t="n"/>
      <c r="F114" s="181" t="n"/>
      <c r="G114" s="181" t="n"/>
      <c r="H114" s="181" t="n"/>
      <c r="I114" s="116" t="n"/>
      <c r="J114" s="117">
        <f>IF(AND(D114&lt;&gt;"",G114&gt;0),D114/G114,"")</f>
        <v/>
      </c>
      <c r="K114" s="117">
        <f>IF(AND(D114&lt;&gt;"",F114&gt;0),D114/F114,"")</f>
        <v/>
      </c>
      <c r="L114" s="182">
        <f>IF(AND(I114&lt;&gt;"",D114&gt;0),(I114-D114)/D114,"")</f>
        <v/>
      </c>
    </row>
    <row r="115">
      <c r="D115" s="116" t="n"/>
      <c r="E115" s="181" t="n"/>
      <c r="F115" s="181" t="n"/>
      <c r="G115" s="181" t="n"/>
      <c r="H115" s="181" t="n"/>
      <c r="I115" s="116" t="n"/>
      <c r="J115" s="117">
        <f>IF(AND(D115&lt;&gt;"",G115&gt;0),D115/G115,"")</f>
        <v/>
      </c>
      <c r="K115" s="117">
        <f>IF(AND(D115&lt;&gt;"",F115&gt;0),D115/F115,"")</f>
        <v/>
      </c>
      <c r="L115" s="182">
        <f>IF(AND(I115&lt;&gt;"",D115&gt;0),(I115-D115)/D115,"")</f>
        <v/>
      </c>
    </row>
    <row r="116">
      <c r="D116" s="116" t="n"/>
      <c r="E116" s="181" t="n"/>
      <c r="F116" s="181" t="n"/>
      <c r="G116" s="181" t="n"/>
      <c r="H116" s="181" t="n"/>
      <c r="I116" s="116" t="n"/>
      <c r="J116" s="117">
        <f>IF(AND(D116&lt;&gt;"",G116&gt;0),D116/G116,"")</f>
        <v/>
      </c>
      <c r="K116" s="117">
        <f>IF(AND(D116&lt;&gt;"",F116&gt;0),D116/F116,"")</f>
        <v/>
      </c>
      <c r="L116" s="182">
        <f>IF(AND(I116&lt;&gt;"",D116&gt;0),(I116-D116)/D116,"")</f>
        <v/>
      </c>
    </row>
    <row r="117">
      <c r="D117" s="116" t="n"/>
      <c r="E117" s="181" t="n"/>
      <c r="F117" s="181" t="n"/>
      <c r="G117" s="181" t="n"/>
      <c r="H117" s="181" t="n"/>
      <c r="I117" s="116" t="n"/>
      <c r="J117" s="117">
        <f>IF(AND(D117&lt;&gt;"",G117&gt;0),D117/G117,"")</f>
        <v/>
      </c>
      <c r="K117" s="117">
        <f>IF(AND(D117&lt;&gt;"",F117&gt;0),D117/F117,"")</f>
        <v/>
      </c>
      <c r="L117" s="182">
        <f>IF(AND(I117&lt;&gt;"",D117&gt;0),(I117-D117)/D117,"")</f>
        <v/>
      </c>
    </row>
    <row r="118">
      <c r="D118" s="116" t="n"/>
      <c r="E118" s="181" t="n"/>
      <c r="F118" s="181" t="n"/>
      <c r="G118" s="181" t="n"/>
      <c r="H118" s="181" t="n"/>
      <c r="I118" s="116" t="n"/>
      <c r="J118" s="117">
        <f>IF(AND(D118&lt;&gt;"",G118&gt;0),D118/G118,"")</f>
        <v/>
      </c>
      <c r="K118" s="117">
        <f>IF(AND(D118&lt;&gt;"",F118&gt;0),D118/F118,"")</f>
        <v/>
      </c>
      <c r="L118" s="182">
        <f>IF(AND(I118&lt;&gt;"",D118&gt;0),(I118-D118)/D118,"")</f>
        <v/>
      </c>
    </row>
    <row r="119">
      <c r="D119" s="116" t="n"/>
      <c r="E119" s="181" t="n"/>
      <c r="F119" s="181" t="n"/>
      <c r="G119" s="181" t="n"/>
      <c r="H119" s="181" t="n"/>
      <c r="I119" s="116" t="n"/>
      <c r="J119" s="117">
        <f>IF(AND(D119&lt;&gt;"",G119&gt;0),D119/G119,"")</f>
        <v/>
      </c>
      <c r="K119" s="117">
        <f>IF(AND(D119&lt;&gt;"",F119&gt;0),D119/F119,"")</f>
        <v/>
      </c>
      <c r="L119" s="182">
        <f>IF(AND(I119&lt;&gt;"",D119&gt;0),(I119-D119)/D119,"")</f>
        <v/>
      </c>
    </row>
    <row r="120">
      <c r="D120" s="116" t="n"/>
      <c r="E120" s="181" t="n"/>
      <c r="F120" s="181" t="n"/>
      <c r="G120" s="181" t="n"/>
      <c r="H120" s="181" t="n"/>
      <c r="I120" s="116" t="n"/>
      <c r="J120" s="117">
        <f>IF(AND(D120&lt;&gt;"",G120&gt;0),D120/G120,"")</f>
        <v/>
      </c>
      <c r="K120" s="117">
        <f>IF(AND(D120&lt;&gt;"",F120&gt;0),D120/F120,"")</f>
        <v/>
      </c>
      <c r="L120" s="182">
        <f>IF(AND(I120&lt;&gt;"",D120&gt;0),(I120-D120)/D120,"")</f>
        <v/>
      </c>
    </row>
    <row r="121">
      <c r="D121" s="116" t="n"/>
      <c r="E121" s="181" t="n"/>
      <c r="F121" s="181" t="n"/>
      <c r="G121" s="181" t="n"/>
      <c r="H121" s="181" t="n"/>
      <c r="I121" s="116" t="n"/>
      <c r="J121" s="117">
        <f>IF(AND(D121&lt;&gt;"",G121&gt;0),D121/G121,"")</f>
        <v/>
      </c>
      <c r="K121" s="117">
        <f>IF(AND(D121&lt;&gt;"",F121&gt;0),D121/F121,"")</f>
        <v/>
      </c>
      <c r="L121" s="182">
        <f>IF(AND(I121&lt;&gt;"",D121&gt;0),(I121-D121)/D121,"")</f>
        <v/>
      </c>
    </row>
    <row r="122">
      <c r="D122" s="116" t="n"/>
      <c r="E122" s="181" t="n"/>
      <c r="F122" s="181" t="n"/>
      <c r="G122" s="181" t="n"/>
      <c r="H122" s="181" t="n"/>
      <c r="I122" s="116" t="n"/>
      <c r="J122" s="117">
        <f>IF(AND(D122&lt;&gt;"",G122&gt;0),D122/G122,"")</f>
        <v/>
      </c>
      <c r="K122" s="117">
        <f>IF(AND(D122&lt;&gt;"",F122&gt;0),D122/F122,"")</f>
        <v/>
      </c>
      <c r="L122" s="182">
        <f>IF(AND(I122&lt;&gt;"",D122&gt;0),(I122-D122)/D122,"")</f>
        <v/>
      </c>
    </row>
    <row r="123">
      <c r="D123" s="116" t="n"/>
      <c r="E123" s="181" t="n"/>
      <c r="F123" s="181" t="n"/>
      <c r="G123" s="181" t="n"/>
      <c r="H123" s="181" t="n"/>
      <c r="I123" s="116" t="n"/>
      <c r="J123" s="117">
        <f>IF(AND(D123&lt;&gt;"",G123&gt;0),D123/G123,"")</f>
        <v/>
      </c>
      <c r="K123" s="117">
        <f>IF(AND(D123&lt;&gt;"",F123&gt;0),D123/F123,"")</f>
        <v/>
      </c>
      <c r="L123" s="182">
        <f>IF(AND(I123&lt;&gt;"",D123&gt;0),(I123-D123)/D123,"")</f>
        <v/>
      </c>
    </row>
    <row r="124">
      <c r="D124" s="116" t="n"/>
      <c r="E124" s="181" t="n"/>
      <c r="F124" s="181" t="n"/>
      <c r="G124" s="181" t="n"/>
      <c r="H124" s="181" t="n"/>
      <c r="I124" s="116" t="n"/>
      <c r="J124" s="117">
        <f>IF(AND(D124&lt;&gt;"",G124&gt;0),D124/G124,"")</f>
        <v/>
      </c>
      <c r="K124" s="117">
        <f>IF(AND(D124&lt;&gt;"",F124&gt;0),D124/F124,"")</f>
        <v/>
      </c>
      <c r="L124" s="182">
        <f>IF(AND(I124&lt;&gt;"",D124&gt;0),(I124-D124)/D124,"")</f>
        <v/>
      </c>
    </row>
    <row r="125">
      <c r="D125" s="116" t="n"/>
      <c r="E125" s="181" t="n"/>
      <c r="F125" s="181" t="n"/>
      <c r="G125" s="181" t="n"/>
      <c r="H125" s="181" t="n"/>
      <c r="I125" s="116" t="n"/>
      <c r="J125" s="117">
        <f>IF(AND(D125&lt;&gt;"",G125&gt;0),D125/G125,"")</f>
        <v/>
      </c>
      <c r="K125" s="117">
        <f>IF(AND(D125&lt;&gt;"",F125&gt;0),D125/F125,"")</f>
        <v/>
      </c>
      <c r="L125" s="182">
        <f>IF(AND(I125&lt;&gt;"",D125&gt;0),(I125-D125)/D125,"")</f>
        <v/>
      </c>
    </row>
    <row r="126">
      <c r="D126" s="116" t="n"/>
      <c r="E126" s="181" t="n"/>
      <c r="F126" s="181" t="n"/>
      <c r="G126" s="181" t="n"/>
      <c r="H126" s="181" t="n"/>
      <c r="I126" s="116" t="n"/>
      <c r="J126" s="117">
        <f>IF(AND(D126&lt;&gt;"",G126&gt;0),D126/G126,"")</f>
        <v/>
      </c>
      <c r="K126" s="117">
        <f>IF(AND(D126&lt;&gt;"",F126&gt;0),D126/F126,"")</f>
        <v/>
      </c>
      <c r="L126" s="182">
        <f>IF(AND(I126&lt;&gt;"",D126&gt;0),(I126-D126)/D126,"")</f>
        <v/>
      </c>
    </row>
    <row r="127">
      <c r="D127" s="116" t="n"/>
      <c r="E127" s="181" t="n"/>
      <c r="F127" s="181" t="n"/>
      <c r="G127" s="181" t="n"/>
      <c r="H127" s="181" t="n"/>
      <c r="I127" s="116" t="n"/>
      <c r="J127" s="117">
        <f>IF(AND(D127&lt;&gt;"",G127&gt;0),D127/G127,"")</f>
        <v/>
      </c>
      <c r="K127" s="117">
        <f>IF(AND(D127&lt;&gt;"",F127&gt;0),D127/F127,"")</f>
        <v/>
      </c>
      <c r="L127" s="182">
        <f>IF(AND(I127&lt;&gt;"",D127&gt;0),(I127-D127)/D127,"")</f>
        <v/>
      </c>
    </row>
    <row r="128">
      <c r="D128" s="116" t="n"/>
      <c r="E128" s="181" t="n"/>
      <c r="F128" s="181" t="n"/>
      <c r="G128" s="181" t="n"/>
      <c r="H128" s="181" t="n"/>
      <c r="I128" s="116" t="n"/>
      <c r="J128" s="117">
        <f>IF(AND(D128&lt;&gt;"",G128&gt;0),D128/G128,"")</f>
        <v/>
      </c>
      <c r="K128" s="117">
        <f>IF(AND(D128&lt;&gt;"",F128&gt;0),D128/F128,"")</f>
        <v/>
      </c>
      <c r="L128" s="182">
        <f>IF(AND(I128&lt;&gt;"",D128&gt;0),(I128-D128)/D128,"")</f>
        <v/>
      </c>
    </row>
    <row r="129">
      <c r="D129" s="116" t="n"/>
      <c r="E129" s="181" t="n"/>
      <c r="F129" s="181" t="n"/>
      <c r="G129" s="181" t="n"/>
      <c r="H129" s="181" t="n"/>
      <c r="I129" s="116" t="n"/>
      <c r="J129" s="117">
        <f>IF(AND(D129&lt;&gt;"",G129&gt;0),D129/G129,"")</f>
        <v/>
      </c>
      <c r="K129" s="117">
        <f>IF(AND(D129&lt;&gt;"",F129&gt;0),D129/F129,"")</f>
        <v/>
      </c>
      <c r="L129" s="182">
        <f>IF(AND(I129&lt;&gt;"",D129&gt;0),(I129-D129)/D129,"")</f>
        <v/>
      </c>
    </row>
    <row r="130">
      <c r="D130" s="116" t="n"/>
      <c r="E130" s="181" t="n"/>
      <c r="F130" s="181" t="n"/>
      <c r="G130" s="181" t="n"/>
      <c r="H130" s="181" t="n"/>
      <c r="I130" s="116" t="n"/>
      <c r="J130" s="117">
        <f>IF(AND(D130&lt;&gt;"",G130&gt;0),D130/G130,"")</f>
        <v/>
      </c>
      <c r="K130" s="117">
        <f>IF(AND(D130&lt;&gt;"",F130&gt;0),D130/F130,"")</f>
        <v/>
      </c>
      <c r="L130" s="182">
        <f>IF(AND(I130&lt;&gt;"",D130&gt;0),(I130-D130)/D130,"")</f>
        <v/>
      </c>
    </row>
    <row r="131">
      <c r="D131" s="116" t="n"/>
      <c r="E131" s="181" t="n"/>
      <c r="F131" s="181" t="n"/>
      <c r="G131" s="181" t="n"/>
      <c r="H131" s="181" t="n"/>
      <c r="I131" s="116" t="n"/>
      <c r="J131" s="117">
        <f>IF(AND(D131&lt;&gt;"",G131&gt;0),D131/G131,"")</f>
        <v/>
      </c>
      <c r="K131" s="117">
        <f>IF(AND(D131&lt;&gt;"",F131&gt;0),D131/F131,"")</f>
        <v/>
      </c>
      <c r="L131" s="182">
        <f>IF(AND(I131&lt;&gt;"",D131&gt;0),(I131-D131)/D131,"")</f>
        <v/>
      </c>
    </row>
    <row r="132">
      <c r="D132" s="116" t="n"/>
      <c r="E132" s="181" t="n"/>
      <c r="F132" s="181" t="n"/>
      <c r="G132" s="181" t="n"/>
      <c r="H132" s="181" t="n"/>
      <c r="I132" s="116" t="n"/>
      <c r="J132" s="117">
        <f>IF(AND(D132&lt;&gt;"",G132&gt;0),D132/G132,"")</f>
        <v/>
      </c>
      <c r="K132" s="117">
        <f>IF(AND(D132&lt;&gt;"",F132&gt;0),D132/F132,"")</f>
        <v/>
      </c>
      <c r="L132" s="182">
        <f>IF(AND(I132&lt;&gt;"",D132&gt;0),(I132-D132)/D132,"")</f>
        <v/>
      </c>
    </row>
    <row r="133">
      <c r="D133" s="116" t="n"/>
      <c r="E133" s="181" t="n"/>
      <c r="F133" s="181" t="n"/>
      <c r="G133" s="181" t="n"/>
      <c r="H133" s="181" t="n"/>
      <c r="I133" s="116" t="n"/>
      <c r="J133" s="117">
        <f>IF(AND(D133&lt;&gt;"",G133&gt;0),D133/G133,"")</f>
        <v/>
      </c>
      <c r="K133" s="117">
        <f>IF(AND(D133&lt;&gt;"",F133&gt;0),D133/F133,"")</f>
        <v/>
      </c>
      <c r="L133" s="182">
        <f>IF(AND(I133&lt;&gt;"",D133&gt;0),(I133-D133)/D133,"")</f>
        <v/>
      </c>
    </row>
    <row r="134">
      <c r="D134" s="116" t="n"/>
      <c r="E134" s="181" t="n"/>
      <c r="F134" s="181" t="n"/>
      <c r="G134" s="181" t="n"/>
      <c r="H134" s="181" t="n"/>
      <c r="I134" s="116" t="n"/>
      <c r="J134" s="117">
        <f>IF(AND(D134&lt;&gt;"",G134&gt;0),D134/G134,"")</f>
        <v/>
      </c>
      <c r="K134" s="117">
        <f>IF(AND(D134&lt;&gt;"",F134&gt;0),D134/F134,"")</f>
        <v/>
      </c>
      <c r="L134" s="182">
        <f>IF(AND(I134&lt;&gt;"",D134&gt;0),(I134-D134)/D134,"")</f>
        <v/>
      </c>
    </row>
    <row r="135">
      <c r="D135" s="116" t="n"/>
      <c r="E135" s="181" t="n"/>
      <c r="F135" s="181" t="n"/>
      <c r="G135" s="181" t="n"/>
      <c r="H135" s="181" t="n"/>
      <c r="I135" s="116" t="n"/>
      <c r="J135" s="117">
        <f>IF(AND(D135&lt;&gt;"",G135&gt;0),D135/G135,"")</f>
        <v/>
      </c>
      <c r="K135" s="117">
        <f>IF(AND(D135&lt;&gt;"",F135&gt;0),D135/F135,"")</f>
        <v/>
      </c>
      <c r="L135" s="182">
        <f>IF(AND(I135&lt;&gt;"",D135&gt;0),(I135-D135)/D135,"")</f>
        <v/>
      </c>
    </row>
    <row r="136">
      <c r="D136" s="116" t="n"/>
      <c r="E136" s="181" t="n"/>
      <c r="F136" s="181" t="n"/>
      <c r="G136" s="181" t="n"/>
      <c r="H136" s="181" t="n"/>
      <c r="I136" s="116" t="n"/>
      <c r="J136" s="117">
        <f>IF(AND(D136&lt;&gt;"",G136&gt;0),D136/G136,"")</f>
        <v/>
      </c>
      <c r="K136" s="117">
        <f>IF(AND(D136&lt;&gt;"",F136&gt;0),D136/F136,"")</f>
        <v/>
      </c>
      <c r="L136" s="182">
        <f>IF(AND(I136&lt;&gt;"",D136&gt;0),(I136-D136)/D136,"")</f>
        <v/>
      </c>
    </row>
    <row r="137">
      <c r="D137" s="116" t="n"/>
      <c r="E137" s="181" t="n"/>
      <c r="F137" s="181" t="n"/>
      <c r="G137" s="181" t="n"/>
      <c r="H137" s="181" t="n"/>
      <c r="I137" s="116" t="n"/>
      <c r="J137" s="117">
        <f>IF(AND(D137&lt;&gt;"",G137&gt;0),D137/G137,"")</f>
        <v/>
      </c>
      <c r="K137" s="117">
        <f>IF(AND(D137&lt;&gt;"",F137&gt;0),D137/F137,"")</f>
        <v/>
      </c>
      <c r="L137" s="182">
        <f>IF(AND(I137&lt;&gt;"",D137&gt;0),(I137-D137)/D137,"")</f>
        <v/>
      </c>
    </row>
    <row r="138">
      <c r="D138" s="116" t="n"/>
      <c r="E138" s="181" t="n"/>
      <c r="F138" s="181" t="n"/>
      <c r="G138" s="181" t="n"/>
      <c r="H138" s="181" t="n"/>
      <c r="I138" s="116" t="n"/>
      <c r="J138" s="117">
        <f>IF(AND(D138&lt;&gt;"",G138&gt;0),D138/G138,"")</f>
        <v/>
      </c>
      <c r="K138" s="117">
        <f>IF(AND(D138&lt;&gt;"",F138&gt;0),D138/F138,"")</f>
        <v/>
      </c>
      <c r="L138" s="182">
        <f>IF(AND(I138&lt;&gt;"",D138&gt;0),(I138-D138)/D138,"")</f>
        <v/>
      </c>
    </row>
    <row r="139">
      <c r="D139" s="116" t="n"/>
      <c r="E139" s="181" t="n"/>
      <c r="F139" s="181" t="n"/>
      <c r="G139" s="181" t="n"/>
      <c r="H139" s="181" t="n"/>
      <c r="I139" s="116" t="n"/>
      <c r="J139" s="117">
        <f>IF(AND(D139&lt;&gt;"",G139&gt;0),D139/G139,"")</f>
        <v/>
      </c>
      <c r="K139" s="117">
        <f>IF(AND(D139&lt;&gt;"",F139&gt;0),D139/F139,"")</f>
        <v/>
      </c>
      <c r="L139" s="182">
        <f>IF(AND(I139&lt;&gt;"",D139&gt;0),(I139-D139)/D139,"")</f>
        <v/>
      </c>
    </row>
    <row r="140">
      <c r="D140" s="116" t="n"/>
      <c r="E140" s="181" t="n"/>
      <c r="F140" s="181" t="n"/>
      <c r="G140" s="181" t="n"/>
      <c r="H140" s="181" t="n"/>
      <c r="I140" s="116" t="n"/>
      <c r="J140" s="117">
        <f>IF(AND(D140&lt;&gt;"",G140&gt;0),D140/G140,"")</f>
        <v/>
      </c>
      <c r="K140" s="117">
        <f>IF(AND(D140&lt;&gt;"",F140&gt;0),D140/F140,"")</f>
        <v/>
      </c>
      <c r="L140" s="182">
        <f>IF(AND(I140&lt;&gt;"",D140&gt;0),(I140-D140)/D140,"")</f>
        <v/>
      </c>
    </row>
    <row r="141">
      <c r="D141" s="116" t="n"/>
      <c r="E141" s="181" t="n"/>
      <c r="F141" s="181" t="n"/>
      <c r="G141" s="181" t="n"/>
      <c r="H141" s="181" t="n"/>
      <c r="I141" s="116" t="n"/>
      <c r="J141" s="117">
        <f>IF(AND(D141&lt;&gt;"",G141&gt;0),D141/G141,"")</f>
        <v/>
      </c>
      <c r="K141" s="117">
        <f>IF(AND(D141&lt;&gt;"",F141&gt;0),D141/F141,"")</f>
        <v/>
      </c>
      <c r="L141" s="182">
        <f>IF(AND(I141&lt;&gt;"",D141&gt;0),(I141-D141)/D141,"")</f>
        <v/>
      </c>
    </row>
    <row r="142">
      <c r="D142" s="116" t="n"/>
      <c r="E142" s="181" t="n"/>
      <c r="F142" s="181" t="n"/>
      <c r="G142" s="181" t="n"/>
      <c r="H142" s="181" t="n"/>
      <c r="I142" s="116" t="n"/>
      <c r="J142" s="117">
        <f>IF(AND(D142&lt;&gt;"",G142&gt;0),D142/G142,"")</f>
        <v/>
      </c>
      <c r="K142" s="117">
        <f>IF(AND(D142&lt;&gt;"",F142&gt;0),D142/F142,"")</f>
        <v/>
      </c>
      <c r="L142" s="182">
        <f>IF(AND(I142&lt;&gt;"",D142&gt;0),(I142-D142)/D142,"")</f>
        <v/>
      </c>
    </row>
    <row r="143">
      <c r="D143" s="116" t="n"/>
      <c r="E143" s="181" t="n"/>
      <c r="F143" s="181" t="n"/>
      <c r="G143" s="181" t="n"/>
      <c r="H143" s="181" t="n"/>
      <c r="I143" s="116" t="n"/>
      <c r="J143" s="117">
        <f>IF(AND(D143&lt;&gt;"",G143&gt;0),D143/G143,"")</f>
        <v/>
      </c>
      <c r="K143" s="117">
        <f>IF(AND(D143&lt;&gt;"",F143&gt;0),D143/F143,"")</f>
        <v/>
      </c>
      <c r="L143" s="182">
        <f>IF(AND(I143&lt;&gt;"",D143&gt;0),(I143-D143)/D143,"")</f>
        <v/>
      </c>
    </row>
    <row r="144">
      <c r="D144" s="116" t="n"/>
      <c r="E144" s="181" t="n"/>
      <c r="F144" s="181" t="n"/>
      <c r="G144" s="181" t="n"/>
      <c r="H144" s="181" t="n"/>
      <c r="I144" s="116" t="n"/>
      <c r="J144" s="117">
        <f>IF(AND(D144&lt;&gt;"",G144&gt;0),D144/G144,"")</f>
        <v/>
      </c>
      <c r="K144" s="117">
        <f>IF(AND(D144&lt;&gt;"",F144&gt;0),D144/F144,"")</f>
        <v/>
      </c>
      <c r="L144" s="182">
        <f>IF(AND(I144&lt;&gt;"",D144&gt;0),(I144-D144)/D144,"")</f>
        <v/>
      </c>
    </row>
    <row r="145">
      <c r="D145" s="116" t="n"/>
      <c r="E145" s="181" t="n"/>
      <c r="F145" s="181" t="n"/>
      <c r="G145" s="181" t="n"/>
      <c r="H145" s="181" t="n"/>
      <c r="I145" s="116" t="n"/>
      <c r="J145" s="117">
        <f>IF(AND(D145&lt;&gt;"",G145&gt;0),D145/G145,"")</f>
        <v/>
      </c>
      <c r="K145" s="117">
        <f>IF(AND(D145&lt;&gt;"",F145&gt;0),D145/F145,"")</f>
        <v/>
      </c>
      <c r="L145" s="182">
        <f>IF(AND(I145&lt;&gt;"",D145&gt;0),(I145-D145)/D145,"")</f>
        <v/>
      </c>
    </row>
    <row r="146">
      <c r="D146" s="116" t="n"/>
      <c r="E146" s="181" t="n"/>
      <c r="F146" s="181" t="n"/>
      <c r="G146" s="181" t="n"/>
      <c r="H146" s="181" t="n"/>
      <c r="I146" s="116" t="n"/>
      <c r="J146" s="117">
        <f>IF(AND(D146&lt;&gt;"",G146&gt;0),D146/G146,"")</f>
        <v/>
      </c>
      <c r="K146" s="117">
        <f>IF(AND(D146&lt;&gt;"",F146&gt;0),D146/F146,"")</f>
        <v/>
      </c>
      <c r="L146" s="182">
        <f>IF(AND(I146&lt;&gt;"",D146&gt;0),(I146-D146)/D146,"")</f>
        <v/>
      </c>
    </row>
    <row r="147">
      <c r="D147" s="116" t="n"/>
      <c r="E147" s="181" t="n"/>
      <c r="F147" s="181" t="n"/>
      <c r="G147" s="181" t="n"/>
      <c r="H147" s="181" t="n"/>
      <c r="I147" s="116" t="n"/>
      <c r="J147" s="117">
        <f>IF(AND(D147&lt;&gt;"",G147&gt;0),D147/G147,"")</f>
        <v/>
      </c>
      <c r="K147" s="117">
        <f>IF(AND(D147&lt;&gt;"",F147&gt;0),D147/F147,"")</f>
        <v/>
      </c>
      <c r="L147" s="182">
        <f>IF(AND(I147&lt;&gt;"",D147&gt;0),(I147-D147)/D147,"")</f>
        <v/>
      </c>
    </row>
    <row r="148">
      <c r="D148" s="116" t="n"/>
      <c r="E148" s="181" t="n"/>
      <c r="F148" s="181" t="n"/>
      <c r="G148" s="181" t="n"/>
      <c r="H148" s="181" t="n"/>
      <c r="I148" s="116" t="n"/>
      <c r="J148" s="117">
        <f>IF(AND(D148&lt;&gt;"",G148&gt;0),D148/G148,"")</f>
        <v/>
      </c>
      <c r="K148" s="117">
        <f>IF(AND(D148&lt;&gt;"",F148&gt;0),D148/F148,"")</f>
        <v/>
      </c>
      <c r="L148" s="182">
        <f>IF(AND(I148&lt;&gt;"",D148&gt;0),(I148-D148)/D148,"")</f>
        <v/>
      </c>
    </row>
    <row r="149">
      <c r="D149" s="116" t="n"/>
      <c r="E149" s="181" t="n"/>
      <c r="F149" s="181" t="n"/>
      <c r="G149" s="181" t="n"/>
      <c r="H149" s="181" t="n"/>
      <c r="I149" s="116" t="n"/>
      <c r="J149" s="117">
        <f>IF(AND(D149&lt;&gt;"",G149&gt;0),D149/G149,"")</f>
        <v/>
      </c>
      <c r="K149" s="117">
        <f>IF(AND(D149&lt;&gt;"",F149&gt;0),D149/F149,"")</f>
        <v/>
      </c>
      <c r="L149" s="182">
        <f>IF(AND(I149&lt;&gt;"",D149&gt;0),(I149-D149)/D149,"")</f>
        <v/>
      </c>
    </row>
    <row r="150">
      <c r="D150" s="116" t="n"/>
      <c r="E150" s="181" t="n"/>
      <c r="F150" s="181" t="n"/>
      <c r="G150" s="181" t="n"/>
      <c r="H150" s="181" t="n"/>
      <c r="I150" s="116" t="n"/>
      <c r="J150" s="117">
        <f>IF(AND(D150&lt;&gt;"",G150&gt;0),D150/G150,"")</f>
        <v/>
      </c>
      <c r="K150" s="117">
        <f>IF(AND(D150&lt;&gt;"",F150&gt;0),D150/F150,"")</f>
        <v/>
      </c>
      <c r="L150" s="182">
        <f>IF(AND(I150&lt;&gt;"",D150&gt;0),(I150-D150)/D150,"")</f>
        <v/>
      </c>
    </row>
    <row r="151">
      <c r="D151" s="116" t="n"/>
      <c r="E151" s="181" t="n"/>
      <c r="F151" s="181" t="n"/>
      <c r="G151" s="181" t="n"/>
      <c r="H151" s="181" t="n"/>
      <c r="I151" s="116" t="n"/>
      <c r="J151" s="117">
        <f>IF(AND(D151&lt;&gt;"",G151&gt;0),D151/G151,"")</f>
        <v/>
      </c>
      <c r="K151" s="117">
        <f>IF(AND(D151&lt;&gt;"",F151&gt;0),D151/F151,"")</f>
        <v/>
      </c>
      <c r="L151" s="182">
        <f>IF(AND(I151&lt;&gt;"",D151&gt;0),(I151-D151)/D151,"")</f>
        <v/>
      </c>
    </row>
    <row r="152">
      <c r="D152" s="116" t="n"/>
      <c r="E152" s="181" t="n"/>
      <c r="F152" s="181" t="n"/>
      <c r="G152" s="181" t="n"/>
      <c r="H152" s="181" t="n"/>
      <c r="I152" s="116" t="n"/>
      <c r="J152" s="117">
        <f>IF(AND(D152&lt;&gt;"",G152&gt;0),D152/G152,"")</f>
        <v/>
      </c>
      <c r="K152" s="117">
        <f>IF(AND(D152&lt;&gt;"",F152&gt;0),D152/F152,"")</f>
        <v/>
      </c>
      <c r="L152" s="182">
        <f>IF(AND(I152&lt;&gt;"",D152&gt;0),(I152-D152)/D152,"")</f>
        <v/>
      </c>
    </row>
    <row r="153">
      <c r="D153" s="116" t="n"/>
      <c r="E153" s="181" t="n"/>
      <c r="F153" s="181" t="n"/>
      <c r="G153" s="181" t="n"/>
      <c r="H153" s="181" t="n"/>
      <c r="I153" s="116" t="n"/>
      <c r="J153" s="117">
        <f>IF(AND(D153&lt;&gt;"",G153&gt;0),D153/G153,"")</f>
        <v/>
      </c>
      <c r="K153" s="117">
        <f>IF(AND(D153&lt;&gt;"",F153&gt;0),D153/F153,"")</f>
        <v/>
      </c>
      <c r="L153" s="182">
        <f>IF(AND(I153&lt;&gt;"",D153&gt;0),(I153-D153)/D153,"")</f>
        <v/>
      </c>
    </row>
    <row r="154">
      <c r="D154" s="116" t="n"/>
      <c r="E154" s="181" t="n"/>
      <c r="F154" s="181" t="n"/>
      <c r="G154" s="181" t="n"/>
      <c r="H154" s="181" t="n"/>
      <c r="I154" s="116" t="n"/>
      <c r="J154" s="117">
        <f>IF(AND(D154&lt;&gt;"",G154&gt;0),D154/G154,"")</f>
        <v/>
      </c>
      <c r="K154" s="117">
        <f>IF(AND(D154&lt;&gt;"",F154&gt;0),D154/F154,"")</f>
        <v/>
      </c>
      <c r="L154" s="182">
        <f>IF(AND(I154&lt;&gt;"",D154&gt;0),(I154-D154)/D154,"")</f>
        <v/>
      </c>
    </row>
    <row r="155">
      <c r="D155" s="116" t="n"/>
      <c r="E155" s="181" t="n"/>
      <c r="F155" s="181" t="n"/>
      <c r="G155" s="181" t="n"/>
      <c r="H155" s="181" t="n"/>
      <c r="I155" s="116" t="n"/>
      <c r="J155" s="117">
        <f>IF(AND(D155&lt;&gt;"",G155&gt;0),D155/G155,"")</f>
        <v/>
      </c>
      <c r="K155" s="117">
        <f>IF(AND(D155&lt;&gt;"",F155&gt;0),D155/F155,"")</f>
        <v/>
      </c>
      <c r="L155" s="182">
        <f>IF(AND(I155&lt;&gt;"",D155&gt;0),(I155-D155)/D155,"")</f>
        <v/>
      </c>
    </row>
    <row r="156">
      <c r="D156" s="116" t="n"/>
      <c r="E156" s="181" t="n"/>
      <c r="F156" s="181" t="n"/>
      <c r="G156" s="181" t="n"/>
      <c r="H156" s="181" t="n"/>
      <c r="I156" s="116" t="n"/>
      <c r="J156" s="117">
        <f>IF(AND(D156&lt;&gt;"",G156&gt;0),D156/G156,"")</f>
        <v/>
      </c>
      <c r="K156" s="117">
        <f>IF(AND(D156&lt;&gt;"",F156&gt;0),D156/F156,"")</f>
        <v/>
      </c>
      <c r="L156" s="182">
        <f>IF(AND(I156&lt;&gt;"",D156&gt;0),(I156-D156)/D156,"")</f>
        <v/>
      </c>
    </row>
    <row r="157">
      <c r="D157" s="116" t="n"/>
      <c r="E157" s="181" t="n"/>
      <c r="F157" s="181" t="n"/>
      <c r="G157" s="181" t="n"/>
      <c r="H157" s="181" t="n"/>
      <c r="I157" s="116" t="n"/>
      <c r="J157" s="117">
        <f>IF(AND(D157&lt;&gt;"",G157&gt;0),D157/G157,"")</f>
        <v/>
      </c>
      <c r="K157" s="117">
        <f>IF(AND(D157&lt;&gt;"",F157&gt;0),D157/F157,"")</f>
        <v/>
      </c>
      <c r="L157" s="182">
        <f>IF(AND(I157&lt;&gt;"",D157&gt;0),(I157-D157)/D157,"")</f>
        <v/>
      </c>
    </row>
    <row r="158">
      <c r="D158" s="116" t="n"/>
      <c r="E158" s="181" t="n"/>
      <c r="F158" s="181" t="n"/>
      <c r="G158" s="181" t="n"/>
      <c r="H158" s="181" t="n"/>
      <c r="I158" s="116" t="n"/>
      <c r="J158" s="117">
        <f>IF(AND(D158&lt;&gt;"",G158&gt;0),D158/G158,"")</f>
        <v/>
      </c>
      <c r="K158" s="117">
        <f>IF(AND(D158&lt;&gt;"",F158&gt;0),D158/F158,"")</f>
        <v/>
      </c>
      <c r="L158" s="182">
        <f>IF(AND(I158&lt;&gt;"",D158&gt;0),(I158-D158)/D158,"")</f>
        <v/>
      </c>
    </row>
    <row r="159">
      <c r="D159" s="116" t="n"/>
      <c r="E159" s="181" t="n"/>
      <c r="F159" s="181" t="n"/>
      <c r="G159" s="181" t="n"/>
      <c r="H159" s="181" t="n"/>
      <c r="I159" s="116" t="n"/>
      <c r="J159" s="117">
        <f>IF(AND(D159&lt;&gt;"",G159&gt;0),D159/G159,"")</f>
        <v/>
      </c>
      <c r="K159" s="117">
        <f>IF(AND(D159&lt;&gt;"",F159&gt;0),D159/F159,"")</f>
        <v/>
      </c>
      <c r="L159" s="182">
        <f>IF(AND(I159&lt;&gt;"",D159&gt;0),(I159-D159)/D159,"")</f>
        <v/>
      </c>
    </row>
    <row r="160">
      <c r="D160" s="116" t="n"/>
      <c r="E160" s="181" t="n"/>
      <c r="F160" s="181" t="n"/>
      <c r="G160" s="181" t="n"/>
      <c r="H160" s="181" t="n"/>
      <c r="I160" s="116" t="n"/>
      <c r="J160" s="117">
        <f>IF(AND(D160&lt;&gt;"",G160&gt;0),D160/G160,"")</f>
        <v/>
      </c>
      <c r="K160" s="117">
        <f>IF(AND(D160&lt;&gt;"",F160&gt;0),D160/F160,"")</f>
        <v/>
      </c>
      <c r="L160" s="182">
        <f>IF(AND(I160&lt;&gt;"",D160&gt;0),(I160-D160)/D160,"")</f>
        <v/>
      </c>
    </row>
    <row r="161">
      <c r="D161" s="116" t="n"/>
      <c r="E161" s="181" t="n"/>
      <c r="F161" s="181" t="n"/>
      <c r="G161" s="181" t="n"/>
      <c r="H161" s="181" t="n"/>
      <c r="I161" s="116" t="n"/>
      <c r="J161" s="117">
        <f>IF(AND(D161&lt;&gt;"",G161&gt;0),D161/G161,"")</f>
        <v/>
      </c>
      <c r="K161" s="117">
        <f>IF(AND(D161&lt;&gt;"",F161&gt;0),D161/F161,"")</f>
        <v/>
      </c>
      <c r="L161" s="182">
        <f>IF(AND(I161&lt;&gt;"",D161&gt;0),(I161-D161)/D161,"")</f>
        <v/>
      </c>
    </row>
    <row r="162">
      <c r="D162" s="116" t="n"/>
      <c r="E162" s="181" t="n"/>
      <c r="F162" s="181" t="n"/>
      <c r="G162" s="181" t="n"/>
      <c r="H162" s="181" t="n"/>
      <c r="I162" s="116" t="n"/>
      <c r="J162" s="117">
        <f>IF(AND(D162&lt;&gt;"",G162&gt;0),D162/G162,"")</f>
        <v/>
      </c>
      <c r="K162" s="117">
        <f>IF(AND(D162&lt;&gt;"",F162&gt;0),D162/F162,"")</f>
        <v/>
      </c>
      <c r="L162" s="182">
        <f>IF(AND(I162&lt;&gt;"",D162&gt;0),(I162-D162)/D162,"")</f>
        <v/>
      </c>
    </row>
    <row r="163">
      <c r="D163" s="116" t="n"/>
      <c r="E163" s="181" t="n"/>
      <c r="F163" s="181" t="n"/>
      <c r="G163" s="181" t="n"/>
      <c r="H163" s="181" t="n"/>
      <c r="I163" s="116" t="n"/>
      <c r="J163" s="117">
        <f>IF(AND(D163&lt;&gt;"",G163&gt;0),D163/G163,"")</f>
        <v/>
      </c>
      <c r="K163" s="117">
        <f>IF(AND(D163&lt;&gt;"",F163&gt;0),D163/F163,"")</f>
        <v/>
      </c>
      <c r="L163" s="182">
        <f>IF(AND(I163&lt;&gt;"",D163&gt;0),(I163-D163)/D163,"")</f>
        <v/>
      </c>
    </row>
    <row r="164">
      <c r="D164" s="116" t="n"/>
      <c r="E164" s="181" t="n"/>
      <c r="F164" s="181" t="n"/>
      <c r="G164" s="181" t="n"/>
      <c r="H164" s="181" t="n"/>
      <c r="I164" s="116" t="n"/>
      <c r="J164" s="117">
        <f>IF(AND(D164&lt;&gt;"",G164&gt;0),D164/G164,"")</f>
        <v/>
      </c>
      <c r="K164" s="117">
        <f>IF(AND(D164&lt;&gt;"",F164&gt;0),D164/F164,"")</f>
        <v/>
      </c>
      <c r="L164" s="182">
        <f>IF(AND(I164&lt;&gt;"",D164&gt;0),(I164-D164)/D164,"")</f>
        <v/>
      </c>
    </row>
    <row r="165">
      <c r="D165" s="116" t="n"/>
      <c r="E165" s="181" t="n"/>
      <c r="F165" s="181" t="n"/>
      <c r="G165" s="181" t="n"/>
      <c r="H165" s="181" t="n"/>
      <c r="I165" s="116" t="n"/>
      <c r="J165" s="117">
        <f>IF(AND(D165&lt;&gt;"",G165&gt;0),D165/G165,"")</f>
        <v/>
      </c>
      <c r="K165" s="117">
        <f>IF(AND(D165&lt;&gt;"",F165&gt;0),D165/F165,"")</f>
        <v/>
      </c>
      <c r="L165" s="182">
        <f>IF(AND(I165&lt;&gt;"",D165&gt;0),(I165-D165)/D165,"")</f>
        <v/>
      </c>
    </row>
    <row r="166">
      <c r="D166" s="116" t="n"/>
      <c r="E166" s="181" t="n"/>
      <c r="F166" s="181" t="n"/>
      <c r="G166" s="181" t="n"/>
      <c r="H166" s="181" t="n"/>
      <c r="I166" s="116" t="n"/>
      <c r="J166" s="117">
        <f>IF(AND(D166&lt;&gt;"",G166&gt;0),D166/G166,"")</f>
        <v/>
      </c>
      <c r="K166" s="117">
        <f>IF(AND(D166&lt;&gt;"",F166&gt;0),D166/F166,"")</f>
        <v/>
      </c>
      <c r="L166" s="182">
        <f>IF(AND(I166&lt;&gt;"",D166&gt;0),(I166-D166)/D166,"")</f>
        <v/>
      </c>
    </row>
    <row r="167">
      <c r="D167" s="116" t="n"/>
      <c r="E167" s="181" t="n"/>
      <c r="F167" s="181" t="n"/>
      <c r="G167" s="181" t="n"/>
      <c r="H167" s="181" t="n"/>
      <c r="I167" s="116" t="n"/>
      <c r="J167" s="117">
        <f>IF(AND(D167&lt;&gt;"",G167&gt;0),D167/G167,"")</f>
        <v/>
      </c>
      <c r="K167" s="117">
        <f>IF(AND(D167&lt;&gt;"",F167&gt;0),D167/F167,"")</f>
        <v/>
      </c>
      <c r="L167" s="182">
        <f>IF(AND(I167&lt;&gt;"",D167&gt;0),(I167-D167)/D167,"")</f>
        <v/>
      </c>
    </row>
    <row r="168">
      <c r="D168" s="116" t="n"/>
      <c r="E168" s="181" t="n"/>
      <c r="F168" s="181" t="n"/>
      <c r="G168" s="181" t="n"/>
      <c r="H168" s="181" t="n"/>
      <c r="I168" s="116" t="n"/>
      <c r="J168" s="117">
        <f>IF(AND(D168&lt;&gt;"",G168&gt;0),D168/G168,"")</f>
        <v/>
      </c>
      <c r="K168" s="117">
        <f>IF(AND(D168&lt;&gt;"",F168&gt;0),D168/F168,"")</f>
        <v/>
      </c>
      <c r="L168" s="182">
        <f>IF(AND(I168&lt;&gt;"",D168&gt;0),(I168-D168)/D168,"")</f>
        <v/>
      </c>
    </row>
    <row r="169">
      <c r="D169" s="116" t="n"/>
      <c r="E169" s="181" t="n"/>
      <c r="F169" s="181" t="n"/>
      <c r="G169" s="181" t="n"/>
      <c r="H169" s="181" t="n"/>
      <c r="I169" s="116" t="n"/>
      <c r="J169" s="117">
        <f>IF(AND(D169&lt;&gt;"",G169&gt;0),D169/G169,"")</f>
        <v/>
      </c>
      <c r="K169" s="117">
        <f>IF(AND(D169&lt;&gt;"",F169&gt;0),D169/F169,"")</f>
        <v/>
      </c>
      <c r="L169" s="182">
        <f>IF(AND(I169&lt;&gt;"",D169&gt;0),(I169-D169)/D169,"")</f>
        <v/>
      </c>
    </row>
    <row r="170">
      <c r="D170" s="116" t="n"/>
      <c r="E170" s="181" t="n"/>
      <c r="F170" s="181" t="n"/>
      <c r="G170" s="181" t="n"/>
      <c r="H170" s="181" t="n"/>
      <c r="I170" s="116" t="n"/>
      <c r="J170" s="117">
        <f>IF(AND(D170&lt;&gt;"",G170&gt;0),D170/G170,"")</f>
        <v/>
      </c>
      <c r="K170" s="117">
        <f>IF(AND(D170&lt;&gt;"",F170&gt;0),D170/F170,"")</f>
        <v/>
      </c>
      <c r="L170" s="182">
        <f>IF(AND(I170&lt;&gt;"",D170&gt;0),(I170-D170)/D170,"")</f>
        <v/>
      </c>
    </row>
    <row r="171">
      <c r="D171" s="116" t="n"/>
      <c r="E171" s="181" t="n"/>
      <c r="F171" s="181" t="n"/>
      <c r="G171" s="181" t="n"/>
      <c r="H171" s="181" t="n"/>
      <c r="I171" s="116" t="n"/>
      <c r="J171" s="117">
        <f>IF(AND(D171&lt;&gt;"",G171&gt;0),D171/G171,"")</f>
        <v/>
      </c>
      <c r="K171" s="117">
        <f>IF(AND(D171&lt;&gt;"",F171&gt;0),D171/F171,"")</f>
        <v/>
      </c>
      <c r="L171" s="182">
        <f>IF(AND(I171&lt;&gt;"",D171&gt;0),(I171-D171)/D171,"")</f>
        <v/>
      </c>
    </row>
    <row r="172">
      <c r="D172" s="116" t="n"/>
      <c r="E172" s="181" t="n"/>
      <c r="F172" s="181" t="n"/>
      <c r="G172" s="181" t="n"/>
      <c r="H172" s="181" t="n"/>
      <c r="I172" s="116" t="n"/>
      <c r="J172" s="117">
        <f>IF(AND(D172&lt;&gt;"",G172&gt;0),D172/G172,"")</f>
        <v/>
      </c>
      <c r="K172" s="117">
        <f>IF(AND(D172&lt;&gt;"",F172&gt;0),D172/F172,"")</f>
        <v/>
      </c>
      <c r="L172" s="182">
        <f>IF(AND(I172&lt;&gt;"",D172&gt;0),(I172-D172)/D172,"")</f>
        <v/>
      </c>
    </row>
    <row r="173">
      <c r="D173" s="116" t="n"/>
      <c r="E173" s="181" t="n"/>
      <c r="F173" s="181" t="n"/>
      <c r="G173" s="181" t="n"/>
      <c r="H173" s="181" t="n"/>
      <c r="I173" s="116" t="n"/>
      <c r="J173" s="117">
        <f>IF(AND(D173&lt;&gt;"",G173&gt;0),D173/G173,"")</f>
        <v/>
      </c>
      <c r="K173" s="117">
        <f>IF(AND(D173&lt;&gt;"",F173&gt;0),D173/F173,"")</f>
        <v/>
      </c>
      <c r="L173" s="182">
        <f>IF(AND(I173&lt;&gt;"",D173&gt;0),(I173-D173)/D173,"")</f>
        <v/>
      </c>
    </row>
    <row r="174">
      <c r="D174" s="116" t="n"/>
      <c r="E174" s="181" t="n"/>
      <c r="F174" s="181" t="n"/>
      <c r="G174" s="181" t="n"/>
      <c r="H174" s="181" t="n"/>
      <c r="I174" s="116" t="n"/>
      <c r="J174" s="117">
        <f>IF(AND(D174&lt;&gt;"",G174&gt;0),D174/G174,"")</f>
        <v/>
      </c>
      <c r="K174" s="117">
        <f>IF(AND(D174&lt;&gt;"",F174&gt;0),D174/F174,"")</f>
        <v/>
      </c>
      <c r="L174" s="182">
        <f>IF(AND(I174&lt;&gt;"",D174&gt;0),(I174-D174)/D174,"")</f>
        <v/>
      </c>
    </row>
    <row r="175">
      <c r="D175" s="116" t="n"/>
      <c r="E175" s="181" t="n"/>
      <c r="F175" s="181" t="n"/>
      <c r="G175" s="181" t="n"/>
      <c r="H175" s="181" t="n"/>
      <c r="I175" s="116" t="n"/>
      <c r="J175" s="117">
        <f>IF(AND(D175&lt;&gt;"",G175&gt;0),D175/G175,"")</f>
        <v/>
      </c>
      <c r="K175" s="117">
        <f>IF(AND(D175&lt;&gt;"",F175&gt;0),D175/F175,"")</f>
        <v/>
      </c>
      <c r="L175" s="182">
        <f>IF(AND(I175&lt;&gt;"",D175&gt;0),(I175-D175)/D175,"")</f>
        <v/>
      </c>
    </row>
    <row r="176">
      <c r="D176" s="116" t="n"/>
      <c r="E176" s="181" t="n"/>
      <c r="F176" s="181" t="n"/>
      <c r="G176" s="181" t="n"/>
      <c r="H176" s="181" t="n"/>
      <c r="I176" s="116" t="n"/>
      <c r="J176" s="117">
        <f>IF(AND(D176&lt;&gt;"",G176&gt;0),D176/G176,"")</f>
        <v/>
      </c>
      <c r="K176" s="117">
        <f>IF(AND(D176&lt;&gt;"",F176&gt;0),D176/F176,"")</f>
        <v/>
      </c>
      <c r="L176" s="182">
        <f>IF(AND(I176&lt;&gt;"",D176&gt;0),(I176-D176)/D176,"")</f>
        <v/>
      </c>
    </row>
    <row r="177">
      <c r="D177" s="116" t="n"/>
      <c r="E177" s="181" t="n"/>
      <c r="F177" s="181" t="n"/>
      <c r="G177" s="181" t="n"/>
      <c r="H177" s="181" t="n"/>
      <c r="I177" s="116" t="n"/>
      <c r="J177" s="117">
        <f>IF(AND(D177&lt;&gt;"",G177&gt;0),D177/G177,"")</f>
        <v/>
      </c>
      <c r="K177" s="117">
        <f>IF(AND(D177&lt;&gt;"",F177&gt;0),D177/F177,"")</f>
        <v/>
      </c>
      <c r="L177" s="182">
        <f>IF(AND(I177&lt;&gt;"",D177&gt;0),(I177-D177)/D177,"")</f>
        <v/>
      </c>
    </row>
    <row r="178">
      <c r="D178" s="116" t="n"/>
      <c r="E178" s="181" t="n"/>
      <c r="F178" s="181" t="n"/>
      <c r="G178" s="181" t="n"/>
      <c r="H178" s="181" t="n"/>
      <c r="I178" s="116" t="n"/>
      <c r="J178" s="117">
        <f>IF(AND(D178&lt;&gt;"",G178&gt;0),D178/G178,"")</f>
        <v/>
      </c>
      <c r="K178" s="117">
        <f>IF(AND(D178&lt;&gt;"",F178&gt;0),D178/F178,"")</f>
        <v/>
      </c>
      <c r="L178" s="182">
        <f>IF(AND(I178&lt;&gt;"",D178&gt;0),(I178-D178)/D178,"")</f>
        <v/>
      </c>
    </row>
    <row r="179">
      <c r="D179" s="116" t="n"/>
      <c r="E179" s="181" t="n"/>
      <c r="F179" s="181" t="n"/>
      <c r="G179" s="181" t="n"/>
      <c r="H179" s="181" t="n"/>
      <c r="I179" s="116" t="n"/>
      <c r="J179" s="117">
        <f>IF(AND(D179&lt;&gt;"",G179&gt;0),D179/G179,"")</f>
        <v/>
      </c>
      <c r="K179" s="117">
        <f>IF(AND(D179&lt;&gt;"",F179&gt;0),D179/F179,"")</f>
        <v/>
      </c>
      <c r="L179" s="182">
        <f>IF(AND(I179&lt;&gt;"",D179&gt;0),(I179-D179)/D179,"")</f>
        <v/>
      </c>
    </row>
    <row r="180">
      <c r="D180" s="116" t="n"/>
      <c r="E180" s="181" t="n"/>
      <c r="F180" s="181" t="n"/>
      <c r="G180" s="181" t="n"/>
      <c r="H180" s="181" t="n"/>
      <c r="I180" s="116" t="n"/>
      <c r="J180" s="117">
        <f>IF(AND(D180&lt;&gt;"",G180&gt;0),D180/G180,"")</f>
        <v/>
      </c>
      <c r="K180" s="117">
        <f>IF(AND(D180&lt;&gt;"",F180&gt;0),D180/F180,"")</f>
        <v/>
      </c>
      <c r="L180" s="182">
        <f>IF(AND(I180&lt;&gt;"",D180&gt;0),(I180-D180)/D180,"")</f>
        <v/>
      </c>
    </row>
    <row r="181">
      <c r="D181" s="116" t="n"/>
      <c r="E181" s="181" t="n"/>
      <c r="F181" s="181" t="n"/>
      <c r="G181" s="181" t="n"/>
      <c r="H181" s="181" t="n"/>
      <c r="I181" s="116" t="n"/>
      <c r="J181" s="117">
        <f>IF(AND(D181&lt;&gt;"",G181&gt;0),D181/G181,"")</f>
        <v/>
      </c>
      <c r="K181" s="117">
        <f>IF(AND(D181&lt;&gt;"",F181&gt;0),D181/F181,"")</f>
        <v/>
      </c>
      <c r="L181" s="182">
        <f>IF(AND(I181&lt;&gt;"",D181&gt;0),(I181-D181)/D181,"")</f>
        <v/>
      </c>
    </row>
    <row r="182">
      <c r="D182" s="116" t="n"/>
      <c r="E182" s="181" t="n"/>
      <c r="F182" s="181" t="n"/>
      <c r="G182" s="181" t="n"/>
      <c r="H182" s="181" t="n"/>
      <c r="I182" s="116" t="n"/>
      <c r="J182" s="117">
        <f>IF(AND(D182&lt;&gt;"",G182&gt;0),D182/G182,"")</f>
        <v/>
      </c>
      <c r="K182" s="117">
        <f>IF(AND(D182&lt;&gt;"",F182&gt;0),D182/F182,"")</f>
        <v/>
      </c>
      <c r="L182" s="182">
        <f>IF(AND(I182&lt;&gt;"",D182&gt;0),(I182-D182)/D182,"")</f>
        <v/>
      </c>
    </row>
    <row r="183">
      <c r="D183" s="116" t="n"/>
      <c r="E183" s="181" t="n"/>
      <c r="F183" s="181" t="n"/>
      <c r="G183" s="181" t="n"/>
      <c r="H183" s="181" t="n"/>
      <c r="I183" s="116" t="n"/>
      <c r="J183" s="117">
        <f>IF(AND(D183&lt;&gt;"",G183&gt;0),D183/G183,"")</f>
        <v/>
      </c>
      <c r="K183" s="117">
        <f>IF(AND(D183&lt;&gt;"",F183&gt;0),D183/F183,"")</f>
        <v/>
      </c>
      <c r="L183" s="182">
        <f>IF(AND(I183&lt;&gt;"",D183&gt;0),(I183-D183)/D183,"")</f>
        <v/>
      </c>
    </row>
    <row r="184">
      <c r="D184" s="116" t="n"/>
      <c r="E184" s="181" t="n"/>
      <c r="F184" s="181" t="n"/>
      <c r="G184" s="181" t="n"/>
      <c r="H184" s="181" t="n"/>
      <c r="I184" s="116" t="n"/>
      <c r="J184" s="117">
        <f>IF(AND(D184&lt;&gt;"",G184&gt;0),D184/G184,"")</f>
        <v/>
      </c>
      <c r="K184" s="117">
        <f>IF(AND(D184&lt;&gt;"",F184&gt;0),D184/F184,"")</f>
        <v/>
      </c>
      <c r="L184" s="182">
        <f>IF(AND(I184&lt;&gt;"",D184&gt;0),(I184-D184)/D184,"")</f>
        <v/>
      </c>
    </row>
    <row r="185">
      <c r="D185" s="116" t="n"/>
      <c r="E185" s="181" t="n"/>
      <c r="F185" s="181" t="n"/>
      <c r="G185" s="181" t="n"/>
      <c r="H185" s="181" t="n"/>
      <c r="I185" s="116" t="n"/>
      <c r="J185" s="117">
        <f>IF(AND(D185&lt;&gt;"",G185&gt;0),D185/G185,"")</f>
        <v/>
      </c>
      <c r="K185" s="117">
        <f>IF(AND(D185&lt;&gt;"",F185&gt;0),D185/F185,"")</f>
        <v/>
      </c>
      <c r="L185" s="182">
        <f>IF(AND(I185&lt;&gt;"",D185&gt;0),(I185-D185)/D185,"")</f>
        <v/>
      </c>
    </row>
    <row r="186">
      <c r="D186" s="116" t="n"/>
      <c r="E186" s="181" t="n"/>
      <c r="F186" s="181" t="n"/>
      <c r="G186" s="181" t="n"/>
      <c r="H186" s="181" t="n"/>
      <c r="I186" s="116" t="n"/>
      <c r="J186" s="117">
        <f>IF(AND(D186&lt;&gt;"",G186&gt;0),D186/G186,"")</f>
        <v/>
      </c>
      <c r="K186" s="117">
        <f>IF(AND(D186&lt;&gt;"",F186&gt;0),D186/F186,"")</f>
        <v/>
      </c>
      <c r="L186" s="182">
        <f>IF(AND(I186&lt;&gt;"",D186&gt;0),(I186-D186)/D186,"")</f>
        <v/>
      </c>
    </row>
    <row r="187">
      <c r="D187" s="116" t="n"/>
      <c r="E187" s="181" t="n"/>
      <c r="F187" s="181" t="n"/>
      <c r="G187" s="181" t="n"/>
      <c r="H187" s="181" t="n"/>
      <c r="I187" s="116" t="n"/>
      <c r="J187" s="117">
        <f>IF(AND(D187&lt;&gt;"",G187&gt;0),D187/G187,"")</f>
        <v/>
      </c>
      <c r="K187" s="117">
        <f>IF(AND(D187&lt;&gt;"",F187&gt;0),D187/F187,"")</f>
        <v/>
      </c>
      <c r="L187" s="182">
        <f>IF(AND(I187&lt;&gt;"",D187&gt;0),(I187-D187)/D187,"")</f>
        <v/>
      </c>
    </row>
    <row r="188">
      <c r="D188" s="116" t="n"/>
      <c r="E188" s="181" t="n"/>
      <c r="F188" s="181" t="n"/>
      <c r="G188" s="181" t="n"/>
      <c r="H188" s="181" t="n"/>
      <c r="I188" s="116" t="n"/>
      <c r="J188" s="117">
        <f>IF(AND(D188&lt;&gt;"",G188&gt;0),D188/G188,"")</f>
        <v/>
      </c>
      <c r="K188" s="117">
        <f>IF(AND(D188&lt;&gt;"",F188&gt;0),D188/F188,"")</f>
        <v/>
      </c>
      <c r="L188" s="182">
        <f>IF(AND(I188&lt;&gt;"",D188&gt;0),(I188-D188)/D188,"")</f>
        <v/>
      </c>
    </row>
    <row r="189">
      <c r="D189" s="116" t="n"/>
      <c r="E189" s="181" t="n"/>
      <c r="F189" s="181" t="n"/>
      <c r="G189" s="181" t="n"/>
      <c r="H189" s="181" t="n"/>
      <c r="I189" s="116" t="n"/>
      <c r="J189" s="117">
        <f>IF(AND(D189&lt;&gt;"",G189&gt;0),D189/G189,"")</f>
        <v/>
      </c>
      <c r="K189" s="117">
        <f>IF(AND(D189&lt;&gt;"",F189&gt;0),D189/F189,"")</f>
        <v/>
      </c>
      <c r="L189" s="182">
        <f>IF(AND(I189&lt;&gt;"",D189&gt;0),(I189-D189)/D189,"")</f>
        <v/>
      </c>
    </row>
    <row r="190">
      <c r="D190" s="116" t="n"/>
      <c r="E190" s="181" t="n"/>
      <c r="F190" s="181" t="n"/>
      <c r="G190" s="181" t="n"/>
      <c r="H190" s="181" t="n"/>
      <c r="I190" s="116" t="n"/>
      <c r="J190" s="117">
        <f>IF(AND(D190&lt;&gt;"",G190&gt;0),D190/G190,"")</f>
        <v/>
      </c>
      <c r="K190" s="117">
        <f>IF(AND(D190&lt;&gt;"",F190&gt;0),D190/F190,"")</f>
        <v/>
      </c>
      <c r="L190" s="182">
        <f>IF(AND(I190&lt;&gt;"",D190&gt;0),(I190-D190)/D190,"")</f>
        <v/>
      </c>
    </row>
    <row r="191">
      <c r="D191" s="116" t="n"/>
      <c r="E191" s="181" t="n"/>
      <c r="F191" s="181" t="n"/>
      <c r="G191" s="181" t="n"/>
      <c r="H191" s="181" t="n"/>
      <c r="I191" s="116" t="n"/>
      <c r="J191" s="117">
        <f>IF(AND(D191&lt;&gt;"",G191&gt;0),D191/G191,"")</f>
        <v/>
      </c>
      <c r="K191" s="117">
        <f>IF(AND(D191&lt;&gt;"",F191&gt;0),D191/F191,"")</f>
        <v/>
      </c>
      <c r="L191" s="182">
        <f>IF(AND(I191&lt;&gt;"",D191&gt;0),(I191-D191)/D191,"")</f>
        <v/>
      </c>
    </row>
    <row r="192">
      <c r="D192" s="116" t="n"/>
      <c r="E192" s="181" t="n"/>
      <c r="F192" s="181" t="n"/>
      <c r="G192" s="181" t="n"/>
      <c r="H192" s="181" t="n"/>
      <c r="I192" s="116" t="n"/>
      <c r="J192" s="117">
        <f>IF(AND(D192&lt;&gt;"",G192&gt;0),D192/G192,"")</f>
        <v/>
      </c>
      <c r="K192" s="117">
        <f>IF(AND(D192&lt;&gt;"",F192&gt;0),D192/F192,"")</f>
        <v/>
      </c>
      <c r="L192" s="182">
        <f>IF(AND(I192&lt;&gt;"",D192&gt;0),(I192-D192)/D192,"")</f>
        <v/>
      </c>
    </row>
    <row r="193">
      <c r="D193" s="116" t="n"/>
      <c r="E193" s="181" t="n"/>
      <c r="F193" s="181" t="n"/>
      <c r="G193" s="181" t="n"/>
      <c r="H193" s="181" t="n"/>
      <c r="I193" s="116" t="n"/>
      <c r="J193" s="117">
        <f>IF(AND(D193&lt;&gt;"",G193&gt;0),D193/G193,"")</f>
        <v/>
      </c>
      <c r="K193" s="117">
        <f>IF(AND(D193&lt;&gt;"",F193&gt;0),D193/F193,"")</f>
        <v/>
      </c>
      <c r="L193" s="182">
        <f>IF(AND(I193&lt;&gt;"",D193&gt;0),(I193-D193)/D193,"")</f>
        <v/>
      </c>
    </row>
    <row r="194">
      <c r="D194" s="116" t="n"/>
      <c r="E194" s="181" t="n"/>
      <c r="F194" s="181" t="n"/>
      <c r="G194" s="181" t="n"/>
      <c r="H194" s="181" t="n"/>
      <c r="I194" s="116" t="n"/>
      <c r="J194" s="117">
        <f>IF(AND(D194&lt;&gt;"",G194&gt;0),D194/G194,"")</f>
        <v/>
      </c>
      <c r="K194" s="117">
        <f>IF(AND(D194&lt;&gt;"",F194&gt;0),D194/F194,"")</f>
        <v/>
      </c>
      <c r="L194" s="182">
        <f>IF(AND(I194&lt;&gt;"",D194&gt;0),(I194-D194)/D194,"")</f>
        <v/>
      </c>
    </row>
    <row r="195">
      <c r="D195" s="116" t="n"/>
      <c r="E195" s="181" t="n"/>
      <c r="F195" s="181" t="n"/>
      <c r="G195" s="181" t="n"/>
      <c r="H195" s="181" t="n"/>
      <c r="I195" s="116" t="n"/>
      <c r="J195" s="117">
        <f>IF(AND(D195&lt;&gt;"",G195&gt;0),D195/G195,"")</f>
        <v/>
      </c>
      <c r="K195" s="117">
        <f>IF(AND(D195&lt;&gt;"",F195&gt;0),D195/F195,"")</f>
        <v/>
      </c>
      <c r="L195" s="182">
        <f>IF(AND(I195&lt;&gt;"",D195&gt;0),(I195-D195)/D195,"")</f>
        <v/>
      </c>
    </row>
    <row r="196">
      <c r="D196" s="116" t="n"/>
      <c r="E196" s="181" t="n"/>
      <c r="F196" s="181" t="n"/>
      <c r="G196" s="181" t="n"/>
      <c r="H196" s="181" t="n"/>
      <c r="I196" s="116" t="n"/>
      <c r="J196" s="117">
        <f>IF(AND(D196&lt;&gt;"",G196&gt;0),D196/G196,"")</f>
        <v/>
      </c>
      <c r="K196" s="117">
        <f>IF(AND(D196&lt;&gt;"",F196&gt;0),D196/F196,"")</f>
        <v/>
      </c>
      <c r="L196" s="182">
        <f>IF(AND(I196&lt;&gt;"",D196&gt;0),(I196-D196)/D196,"")</f>
        <v/>
      </c>
    </row>
    <row r="197">
      <c r="D197" s="116" t="n"/>
      <c r="E197" s="181" t="n"/>
      <c r="F197" s="181" t="n"/>
      <c r="G197" s="181" t="n"/>
      <c r="H197" s="181" t="n"/>
      <c r="I197" s="116" t="n"/>
      <c r="J197" s="117">
        <f>IF(AND(D197&lt;&gt;"",G197&gt;0),D197/G197,"")</f>
        <v/>
      </c>
      <c r="K197" s="117">
        <f>IF(AND(D197&lt;&gt;"",F197&gt;0),D197/F197,"")</f>
        <v/>
      </c>
      <c r="L197" s="182">
        <f>IF(AND(I197&lt;&gt;"",D197&gt;0),(I197-D197)/D197,"")</f>
        <v/>
      </c>
    </row>
    <row r="198">
      <c r="D198" s="116" t="n"/>
      <c r="E198" s="181" t="n"/>
      <c r="F198" s="181" t="n"/>
      <c r="G198" s="181" t="n"/>
      <c r="H198" s="181" t="n"/>
      <c r="I198" s="116" t="n"/>
      <c r="J198" s="117">
        <f>IF(AND(D198&lt;&gt;"",G198&gt;0),D198/G198,"")</f>
        <v/>
      </c>
      <c r="K198" s="117">
        <f>IF(AND(D198&lt;&gt;"",F198&gt;0),D198/F198,"")</f>
        <v/>
      </c>
      <c r="L198" s="182">
        <f>IF(AND(I198&lt;&gt;"",D198&gt;0),(I198-D198)/D198,"")</f>
        <v/>
      </c>
    </row>
    <row r="199">
      <c r="D199" s="116" t="n"/>
      <c r="E199" s="181" t="n"/>
      <c r="F199" s="181" t="n"/>
      <c r="G199" s="181" t="n"/>
      <c r="H199" s="181" t="n"/>
      <c r="I199" s="116" t="n"/>
      <c r="J199" s="117">
        <f>IF(AND(D199&lt;&gt;"",G199&gt;0),D199/G199,"")</f>
        <v/>
      </c>
      <c r="K199" s="117">
        <f>IF(AND(D199&lt;&gt;"",F199&gt;0),D199/F199,"")</f>
        <v/>
      </c>
      <c r="L199" s="182">
        <f>IF(AND(I199&lt;&gt;"",D199&gt;0),(I199-D199)/D199,"")</f>
        <v/>
      </c>
    </row>
    <row r="200">
      <c r="D200" s="116" t="n"/>
      <c r="E200" s="181" t="n"/>
      <c r="F200" s="181" t="n"/>
      <c r="G200" s="181" t="n"/>
      <c r="H200" s="181" t="n"/>
      <c r="I200" s="116" t="n"/>
      <c r="J200" s="117">
        <f>IF(AND(D200&lt;&gt;"",G200&gt;0),D200/G200,"")</f>
        <v/>
      </c>
      <c r="K200" s="117">
        <f>IF(AND(D200&lt;&gt;"",F200&gt;0),D200/F200,"")</f>
        <v/>
      </c>
      <c r="L200" s="182">
        <f>IF(AND(I200&lt;&gt;"",D200&gt;0),(I200-D200)/D200,"")</f>
        <v/>
      </c>
    </row>
    <row r="202">
      <c r="A202" s="183" t="inlineStr">
        <is>
          <t>TOTAL GERAL</t>
        </is>
      </c>
      <c r="D202" s="184">
        <f>SUM(D4:D200)</f>
        <v/>
      </c>
      <c r="E202" s="185">
        <f>SUM(E4:E200)</f>
        <v/>
      </c>
      <c r="F202" s="185">
        <f>SUM(F4:F200)</f>
        <v/>
      </c>
      <c r="G202" s="185">
        <f>SUM(G4:G200)</f>
        <v/>
      </c>
      <c r="H202" s="185">
        <f>SUM(H4:H200)</f>
        <v/>
      </c>
      <c r="I202" s="184">
        <f>SUM(I4:I200)</f>
        <v/>
      </c>
      <c r="L202" s="186">
        <f>IF(D202&gt;0,(I202-D202)/D202,"") </f>
        <v/>
      </c>
    </row>
  </sheetData>
  <mergeCells count="1">
    <mergeCell ref="A1:M1"/>
  </mergeCells>
  <dataValidations count="2">
    <dataValidation sqref="B4:B200" showDropDown="0" showInputMessage="0" showErrorMessage="0" allowBlank="0" type="list">
      <formula1>"Instagram Ads,Facebook Ads,Google Ads,TikTok Ads,WhatsApp,Orgânico"</formula1>
    </dataValidation>
    <dataValidation sqref="C4:C200" showDropDown="0" showInputMessage="0" showErrorMessage="0" allowBlank="0" type="list">
      <formula1>"Reconhecimento,Engajamento,Leads,Conversão,Retargeting"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2026-05-15T17:43:20Z</dcterms:created>
  <dcterms:modified xmlns:dcterms="http://purl.org/dc/terms/" xmlns:xsi="http://www.w3.org/2001/XMLSchema-instance" xsi:type="dcterms:W3CDTF">2026-05-18T03:32:07Z</dcterms:modified>
</cp:coreProperties>
</file>